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showInkAnnotation="0" autoCompressPictures="0"/>
  <mc:AlternateContent xmlns:mc="http://schemas.openxmlformats.org/markup-compatibility/2006">
    <mc:Choice Requires="x15">
      <x15ac:absPath xmlns:x15ac="http://schemas.microsoft.com/office/spreadsheetml/2010/11/ac" url="C:\Users\tsimo\Downloads\Group K Phase 2\Group K Phase 2\"/>
    </mc:Choice>
  </mc:AlternateContent>
  <xr:revisionPtr revIDLastSave="0" documentId="8_{482EB210-A6F0-4070-9754-FC45EAE9E39D}" xr6:coauthVersionLast="47" xr6:coauthVersionMax="47" xr10:uidLastSave="{00000000-0000-0000-0000-000000000000}"/>
  <bookViews>
    <workbookView xWindow="-110" yWindow="-110" windowWidth="19420" windowHeight="11020" firstSheet="2" activeTab="2" xr2:uid="{00000000-000D-0000-FFFF-FFFF00000000}"/>
  </bookViews>
  <sheets>
    <sheet name="Instructions" sheetId="1" r:id="rId1"/>
    <sheet name="Project Overview" sheetId="2" r:id="rId2"/>
    <sheet name="Design Progress" sheetId="3" r:id="rId3"/>
    <sheet name="Individual Contributions" sheetId="4" r:id="rId4"/>
    <sheet name="Design Source Links" sheetId="5" r:id="rId5"/>
    <sheet name="Challenges &amp; Actions" sheetId="6" r:id="rId6"/>
    <sheet name="Phase Summary" sheetId="7" r:id="rId7"/>
    <sheet name="Group Reflection" sheetId="8" r:id="rId8"/>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 l="1"/>
  <c r="E7" i="2"/>
  <c r="E6" i="2"/>
  <c r="E5" i="2"/>
  <c r="E4" i="2"/>
</calcChain>
</file>

<file path=xl/sharedStrings.xml><?xml version="1.0" encoding="utf-8"?>
<sst xmlns="http://schemas.openxmlformats.org/spreadsheetml/2006/main" count="524" uniqueCount="288">
  <si>
    <t>ITC327W Phase 2 Project Progress Tracker</t>
  </si>
  <si>
    <t>Use this workbook during Phase 2: System Architecture and Design. Update it throughout the phase and submit the same workbook with Assessment 2.</t>
  </si>
  <si>
    <t>Sheet</t>
  </si>
  <si>
    <t>Purpose</t>
  </si>
  <si>
    <t>What must be kept current</t>
  </si>
  <si>
    <t>Project Overview</t>
  </si>
  <si>
    <t>Group details and automatic progress summary</t>
  </si>
  <si>
    <t>Group information, GitHub link and current Phase 2 progress</t>
  </si>
  <si>
    <t>Design Progress</t>
  </si>
  <si>
    <t>Track each design artefact and supporting work</t>
  </si>
  <si>
    <t>Architecture, UML, ERD, mobile/web interfaces, SRS and project-management tasks</t>
  </si>
  <si>
    <t>Individual Contributions</t>
  </si>
  <si>
    <t>Record work personally completed by each student</t>
  </si>
  <si>
    <t>Activity, responsibility, work completed and evidence</t>
  </si>
  <si>
    <t>Design Source Links</t>
  </si>
  <si>
    <t>Record editable source links/files for submitted designs</t>
  </si>
  <si>
    <t>Architecture, UML, ERD, mobile and web design sources</t>
  </si>
  <si>
    <t>Challenges &amp; Actions</t>
  </si>
  <si>
    <t>Record design/project challenges and corrective action</t>
  </si>
  <si>
    <t>Problem, effect, action, owner, target date and status</t>
  </si>
  <si>
    <t>Phase Summary</t>
  </si>
  <si>
    <t>Summarise what was achieved and what remains</t>
  </si>
  <si>
    <t>Phase status, completed work, gaps and next priorities</t>
  </si>
  <si>
    <t>Group Reflection</t>
  </si>
  <si>
    <t>One shared group reflection for Phase 2</t>
  </si>
  <si>
    <t>Participation, collaboration, challenges, learning and improvements</t>
  </si>
  <si>
    <t>Important</t>
  </si>
  <si>
    <t>Do not create a separate tracker for each activity. This Phase 2 workbook is updated as the group progresses. Evidence may include GitHub commits, screenshots, document sections, editable design links/files and other appropriate project evidence. Do not include passwords, API keys or confidential stakeholder information.</t>
  </si>
  <si>
    <t>Phase 2 Project Overview</t>
  </si>
  <si>
    <t>Group</t>
  </si>
  <si>
    <t>Group K</t>
  </si>
  <si>
    <t>Phase 2 Progress Summary</t>
  </si>
  <si>
    <t>Project Title</t>
  </si>
  <si>
    <t>Event Décor Management &amp; Self-Service Cost Estimation System</t>
  </si>
  <si>
    <t>Total tracked items</t>
  </si>
  <si>
    <t>Stakeholder / Organisation</t>
  </si>
  <si>
    <t>AKEA Events</t>
  </si>
  <si>
    <t>Completed</t>
  </si>
  <si>
    <t>Group Leader</t>
  </si>
  <si>
    <t>Khiba Sonop</t>
  </si>
  <si>
    <t>In Progress</t>
  </si>
  <si>
    <t>Number of Group Members</t>
  </si>
  <si>
    <t>Blocked</t>
  </si>
  <si>
    <t>GitHub Repository Link</t>
  </si>
  <si>
    <t>https://github.com/Michael-23-bloem/ITC327W</t>
  </si>
  <si>
    <t>Average completion</t>
  </si>
  <si>
    <t>Reporting Period</t>
  </si>
  <si>
    <t>Overall Phase Status</t>
  </si>
  <si>
    <t>Phase 2 Reminder</t>
  </si>
  <si>
    <t>Phase 2 focuses on system architecture and design. Track the design artefacts, the editable source links/files, individual contributions, challenges, Microsoft Project updates and GitHub evidence. No separate stakeholder-evidence section is required in this tracker.</t>
  </si>
  <si>
    <t>Phase 2 Design Progress</t>
  </si>
  <si>
    <t>Task ID</t>
  </si>
  <si>
    <t>Design / Project Item</t>
  </si>
  <si>
    <t>Description / Expected Output</t>
  </si>
  <si>
    <t>Responsible Student(s)</t>
  </si>
  <si>
    <t>Planned Date</t>
  </si>
  <si>
    <t>Actual Completion Date</t>
  </si>
  <si>
    <t>Status</t>
  </si>
  <si>
    <t>% Complete</t>
  </si>
  <si>
    <t>Evidence / Link</t>
  </si>
  <si>
    <t>Notes / Action Required</t>
  </si>
  <si>
    <t>P2-01</t>
  </si>
  <si>
    <t>System Architecture</t>
  </si>
  <si>
    <t>Overall architecture showing Flutter, ASP.NET and shared Supabase backend</t>
  </si>
  <si>
    <t>Ramotete Katlego</t>
  </si>
  <si>
    <t>19/09/2026</t>
  </si>
  <si>
    <t>https://lucid.app/lucidchart/44240553-e1a3-49a9-8e37-b2206e969dba/edit?invitationId=inv_c65493ad-0815-4808-a067-4fa283bc9b11</t>
  </si>
  <si>
    <t>Updated the architecture diagram to show the ASP.NET website and Flutter app sharing the Supabase backend, with the quotation and deposit process added.</t>
  </si>
  <si>
    <t>P2-02</t>
  </si>
  <si>
    <t>Use Case Diagram</t>
  </si>
  <si>
    <t>Actors, use cases, system boundary and appropriate UML relationships</t>
  </si>
  <si>
    <t>Kutlwano Semela, Khunyeli Paballo, Michael Mchaisa</t>
  </si>
  <si>
    <t>24/09/2026</t>
  </si>
  <si>
    <t>13/10/2026</t>
  </si>
  <si>
    <t xml:space="preserve">https://viewer.diagrams.net/?tags=%7B%7D&amp;lightbox=1&amp;target=blank&amp;highlight=0000ff&amp;edit=_blank&amp;layers=1&amp;nav=1&amp;title=Use_casev5%20(1)(2).drawio&amp;dark=auto#R%3Cmxfile%3E%3Cdiagram%20name%3D%22Page-1%22%20id%3D%22fDXJCtRdBhSqk1bC3LjU%22%3E7V3ZdtrIun6Wc%2BG1OhfUqnm4zOR0n%2B6dTifpYe%2BbvQjItk4wcgOOk376UyUooSoVkgAVyI6cLBsNSFD6h%2B%2BfL8jL269vFuO7m39l02R2geH06wV5dYGxUoLpP2bPt%2FUehiBc77lepNP1vtKOD%2Bk%2FyXonsnvv02my3Oxb71pl2WyV3rk7J9l8nkxWzr7xYpE9uKddZbOps%2BNufJ04H8Ps%2BDAZz5LKaX%2Bm09XNeq9kpbN%2FTNLrG3vn4vvdju3Jmx3Lm%2FE0eyjtIq8vyMtFlq3Wr26%2FvkxmZvXcdbnccbT4YItkvmrzhm9TTsdo%2BprglMwp%2Fvt%2FkfpxhJ3VG3%2Ba%2BYuxvfrmhsvVN3vS9SK7v7sgL26zL5t3Ir21SJbpP%2BXtbDVelbY1iSTl7WSaljdn2eRzYj4y1Bvu5zKHl6tF9rl4FEzvWX%2BsL%2BPZ%2FeZjbXYki1XytfTRN6vyJsluk9Ximz7lpvTgKEJy%2FcaH7WOmTJL1zs2FRvrx0vWeDUEjstkebwjturj%2B9lnoF5vHscejIdVHUPcIS89FP5b5tFjDh5t0lXy4G0%2FM0QfNpnrfzep2tlnQq3Q2e5nNsoXenpn1GE3Hi88%2FXGBymf9c4JfF62eVByCKPeFrwPxnfY3162cnJpiOyIMSAqRQFCvGFIashlY2lDEiiJXfQmUkQkGIH0wq%2BvJakibNZKKl113y03yppbHDifs8dpd09JK%2FGOu3zfXrif7cib7MC%2FNYUi19n28O3KbTqfmsL66y%2BepyfJvOzOr%2BmMy%2BJOa8zYGN2kDEbm%2B%2BINps7%2FMh9%2BWHTC9ZujKfSsIwufHZavM5nLXnf99n9sBomX%2BD5%2FoELO6%2B5texx%2FWra%2FP33SKbJMulPkW%2F%2BpIu02w%2BNrTx273hF72lX79P%2Fr5Plit7T01O69uur3AQ5SOqqRhXyJ1w5UhGCplwBaP%2BB%2By%2BCDQvBpp%2F%2BjT%2FMptfpYvbC4NH9KeAr5LJLJ0nO6l%2BfGse4fzT0vz54SFd3aTmBEwNUWf3i%2BWzTlmDcIBUlTUEAYg63EEopYB4DEKlVikoFoPgjbpJphbgBhBjLcfo9ZokbfROmbfm0%2BcGdeut7C6ZG209n16mM8tSessSLnaZzQUtLtsYGp%2BOlzf54cP4sA3LBHltNv6UzF6MJ5%2Bv809o77nljf3ZbSfDV0SD%2Frv49lexdnrj32aBALObr75uFmy99W2ztTGUxovrpO5JF1LUg0dVsl8kM81tX1xKikC0qr09Uk%2F2ZZrUHPCLeYouwbWXw2WAalb3Lkvnq%2Fy7sxcX7FVUCWgv9Km0Yy3lZtWtdD6Z3WtlZXe6b3Cup5%2FPJ%2F8eh8rEIHFYiwkCKDnzkPFu%2Btlc%2FZ1Z4tIp2dXVUpOyT2DFhziG5vaViwOSeIRI4m22Sq8Msb6cpUl%2BrexqDShyJN0pLMAQUF6FBYRqc9BhDiyswLOYgIloViKB0QFBwEdUAgTzbJ44gAAOgGBfQLDUOn1lF3QyGy%2BX6cTuLsGsx6r%2FievNPUD%2FWyrvif6v6NguAEFH%2Bt8VdCFY0I3%2B11Tm6n98HvV%2F%2FcvsIfsF%2F%2FN%2B8g959d9PKf7zSzpSg%2FJ%2F%2Bsr%2Fg9Yy%2BvhlOtertkymnv9glRlccL9caWpanAIJcAaIyyYEMewiAcQ6QAJBkkeoQyBQx1Q7QxLZYnWTXRv%2F5S9Zdrehtv9LVqtvG3Ic3%2Btn4jBRYQmXjN9%2FO7Zv2BIu4Y%2BtunR9Eo5O3YCUskINw4%2F9edgBLMnXdFX6Onrr36Uj2y9jNva16veS0y2ksCV4whigikJICUeSQeJRrPFnYSSwxBQTBj0xv6aazTXLcUr%2FNgwpACEi%2BiJCEG7jJoVfWXMPpYJLrhSGUDH3NuvlqdymK32B9oiY1nLfdwlQkq%2BrXBSvb7W8G8%2BDt%2FpUoOvRZM1g5o4uj13lPzmP6e%2B1%2BGE0uk7yg5u35Af0eSiPRDx7ln8WGL7c4vrTD2t2hfbPs%2FVfcwQztt4ov9hccOeXr4de62%2Fe4H2JhMiMQ0b5ocoeITJEjrQBqlBtnagQsnQOUOkKoIBKZ55lD7mXJ9BVOOzNDL67xJfJ5V%2Bj698z8uPPH3%2Bdjwg7ViqRcy5a9xCHVr937cI9eVx%2FQhzvmhGPlIDY4QSkv9gq9CB982rng12a9Zxf%2F5JcrSzYXO95v1mRKv7cwNZy6kwVCLwwT9oATg0J9CNkL9B2O0cJdxqYv8zm%2BtLjNP%2FWyXi5ejChVTdlKBbhVblhX1KMZ0PqdTEPbGMubsDTwh59kWWf9QPq0nhkAgiqUbXgVEAmAzkYSEBH6SgCGCz9IEcDEQaE1vy0uGIs1okfeLZSpFMD0xpkJXNsa5yFDbJDw7NNTnHHIt3E0aNbpFXrska1dm9catYDEiGqDGTnEnlWHxQYKM4k4YJh6RNva9tSEz%2FQhqriRCCGBfNAGlIcMK7NVyWJMMLgtLblHtHvWtbriW152uD3YFvW2pYnifb3yLbcER6SvTYuEQEkkFAGGUCufUk49bxvgrLdC31kVK5tkKRY3sGc6rc51Uxn3VMRbR%2FDrVLRYFN1Z1PF09d%2FpMmDPv56%2Fvd9akimO2OIUMAlrVCsFntACckEojj%2FzR0piQngiBLKMJFQMUzdDFyCAURMbX%2BikX6%2FXZoEARaQBnpt7ZLb9VQIFRnPVvHIaBVQiAbcePUrPCiefiueZlKLQEUBX15rKhoUT3eKpz%2FOPNdKXO97nyzvsjxPJHfwOaUkVYdfUtFxrWJ6h%2FgBJZBYbnyAhOEq%2ByCGALE6zvx2pbYkANPtQeYaDkRrUCw3l6YIcR6JD23JdES%2FoMW0j9Uv2HmSa105zj4ZJTSO0w9TyQGniAhNewozH1lgDATnmCum%2F%2FsKYofPrytXATs2FdXSe0%2BccUMmKgSYoxqUEabREXfDKCPvCjGdVW2BS9U8GMBvZPDbrcVcFKU816rpm16BZbdpqBQIUkXdjADhpaFyTwZjaBuxHIMHLif87Ztfpx%2FfzuW79%2Ffij28f3y5G%2FbaJIQ0aKlgAa07YJZNYAYrdVSNI7%2BugSiK4cAGjuG6BB6nQb5O4mdI6p6CAXmlJQYM5%2FBTN4X%2BN56YNFoabNJZOtQ%2FlQDCxNTBF1Y2LGDNG6NaNi10DlmkzABYHXfsVS6AQL4xjCjvIawkyg00G6KnCohCggI5XEHDPiSuUV46lF7aoTO1%2B2WRLYWPXd9BX%2FdZXzYTWPQ0FAtBtaWjQWE9aY2Xz6yxPvLRdgDrVXRxrouZWcXEa8L1KDiBSkAq%2B%2Fu02DEQQA4K2R107gUggKNpqRhEL8HVa%2B18r5mO4Xu3rNq7XNsV8TV7R7ov9tsWLELrli4BSftGULaq33iWLVNOCEV07PLe7bcXO%2FbYEacaQhEFGIReQO0SNJFSAa95VinDJOcHu5dvmahqmAFTzBISKSCgZ825DEOCKUM1ZDHIVLVUzzFB7eIdrOfK79A4XqZq9cQ5rTFOEzc6cuBgWr322PRQHpNo8N5Q%2FIrkoWt5Z64NqNu9C8YW%2Fd6CLbt0CD8ZHr42PZkrrPmwdaDTakoIG0%2BMpmh4%2Fza%2ByvCWpDdo0pYrkjcbeLbLrRd6%2Bt0PPGgFQisI4KYBYV6kh2ATnOd6aP5GsE96hcVKrBeI0JCnj%2BeLIDiwfyOdw7Yy2rUi6zAI5xM46kf1xFF3tUU5VR5c9gehnqqbqUydRgpVXFngeiB5O15B72ITniGjjcM2HqxEo8sqGKY9WEWJLmpsTc%2B3SDvC81%2FA873fGBOHGN4QFVTX0Zq1sJAEUECkpKDXNpXC0MjbZdqJKiNwGLN8dlo%2Bv4sq52L%2FfzbKx1mSm16%2Bp3W2C6y%2F1Ys%2By6%2FvkBLndlAEh6BZgh2LjUAKmMTpXjHET%2FXZLnJQAgmAmlICmKRp2uUvzo1JiG2DgsZirdXHf4Gd5rKmKBR%2Fph3RrxtCkt%2BPrpNtExR11qYF%2BmRRx4GWCCAZBtPbZNLqRWsChxzBO4%2BDOJ4Fqivqml3szU6CJbZk52%2Ffarpq4taLvsB7aZUnPa1Jt88tpWhh%2FK52wQQK1UTSqjMudaGwmqOSceyxjsgxpjtYkEX52fNtQHWYUazWEIIFEIoxcvpRIAMaQ0NpJEFZMjek%2BUhd%2BPMembdHv2Q3Qz4kiBJMaOX9yy5%2FuqwoG8PPYwM%2FzaW5BpMvJIr1bdT4wRBW53k4KuKq2CScuwDe9kklNoPo4zEMHzNMB5uk%2Fggm7f%2FqCYLBSQJkiUaKkIN6UVW46gEisuIYgSPjOo9YAhlAKJFNIIY6U18GKCwmghEQhbXRIzjx2i41f9mjtW8vFA37pD35R%2BEzJRfX9NAcAs0P8PokpKNthqq8vP%2Bb%2B0LtsmZprvk8miabWafe%2BHES4ktCkIdiaHq%2FGzfTiZJRT%2Fd%2BbmaqNRQwkhcz0rBWMeskJUgrj2%2BRaPUCBMIk3aVh1iIJOPi7lKXSmDbbguOhkUso%2BQGePvhYmN9nk1ECCzCwU6o%2FGxhptQAE1omHUtJpthVq6E%2FfwSEhR8ERPMMWZspeHRrPDEJNdHML7XS26I9CCtFxSzkIbFe4ss5ZtsfwN2rpqK4D4UCz6KBJCmuksAhW1blccoKIhz%2BNQ6utzzvafySdt6Zh60eeTiVbJNVWi693T9EvnmGJds3q7zhlv0JbO%2FQ9hPAq4Rpfbn2rVBKLGrWYLU%2FVvt8O4UoBQiJU9wa2%2BY5qvO2gUGDSHjh4CHFV1KlnkHZQbESsEvMwcQpC7ZgRFS6W0qfmNEyJINbNt0Js91JtQNVFZkT8Zaxi3CLg52tLUoEWfohZ9lcySshLtNBOSAmhTg8tKKm%2BRUGoN5MpYLoCZ5FOc4PKGaQ0UK%2BFRxI%2BN8sAwjQb33Plio3vnde3wUF70NZba5PksJkmXH8BFOz%2BkVd89DcAioTEPIkIKjQZZgWKKKkGsAKNMcs2DSCo%2Fv6t9EpnmVwElR5ybcV9SereRBChBBCb6ayrsw8%2FIYVhxbBhW9CsMO7hMvzeX6QgCqITb3nVUY8PF9JmGcSTus923a3QFFEWn18LwE77ogrGcXTaftxmkVxdnMPx6aPg1U1n3NBTwl7alocHQe4qG3of75d2mH3n3ll6LeSbUtHlhfsPXzS0MGIWVg9uOepjCYmQyiWb%2B4cH8azD%2F6jM0wuZfU%2FuMJ2r%2B8V6bfzBPZhGUcyIIF56PhRCiNRYlCmr7DQt%2FfFD7DFyJgTYBsWIQCimVdxcpAcwHxkB9QyhPbPwdO6tAVDXnd2j89abb3yjvw4ldEmttCRWed%2Fcd8ZJJ%2BDAHprcYvyP%2BeZ%2BMJ5pax9a93jnq2jUDxnTs8OKW0EZ%2BCje6jAaj5ACjmmBUpFlzTxRKsT5DKSw5AVyzE0RI2zHFNLKiFSozhYBSIgQ1xClGvO%2BNpTAiQElCTPYGhsJL4GP6qDSl4JKZ9PwTQ6k9mrLViowBSvUGSiHm%2Bjv9EXnNCfMxoFTYhUWPJL%2B4PmZEi4rfctoHo0WH5KI4hgGlGDUpXpRK4plLChONcBE3rmihRU20nlp2oEGz7zAQ%2Fhqwaf%2F8zxyFKDCv1HITw7VNC6irv4peGxHoLNC7rS2deT7qxfrbDi7qLju35fmq0C7xVqmtF3tnDW%2BUhm8%2FGX7W5lROwvqj7%2Bj4tl84dtsfLupn%2F%2FNmvFo%2Bv7s7OGZ8bOKwaUUhkWAam0rGFOGBntJYywgohaYUk%2FaBbWaD9c9joPQBShknWj8JN1uEEI1wIWUUKs3UNNq0ccRjafrzN3Q4WsgLCALPFSsIXHCHFPGQnenWGSsOiVr7uYqHO6CJfqOJRkKLQESBjIjWRDSEs7vDCv0JZ4cU7S%2BZmRmXzvdVtAdwgeDARLWKCaW4qlGJBKiU5WxnmFqNqm09UYqHew26KdB8VurxGomzVGAQyhCF6Ids7iwKcZ0uzRJ1GXgI6wAKWTFGtJiVyGgxh9a2SuhiBnZY%2FG9uHi%2F0oAI1yk2TOM7e28yZZtK%2Bn%2Bs%2Bo0N6EnnYMV7lol2gAfU70oCYaY%2FD9bUJUwJC7MYAEJIQUEgRU5xC4scAWgcaIDV5iVL%2F50IbhF4yFoJKAI4l1XeRVGLm%2BYUjhxrQsRagFRFDqKEvoQZtkXrpRw2sc5qsjaAnckjaeEI91eQODsoVx8aOCHoZ96x10ebbfGlJJnC%2F5Ms6LzfNh9CN151o4Xog3S5HpWfa%2FDDNs0xezrLJ5v0v5xnQV8nn1F2bGdrrapdkNXnmf61n3UJDAgI1n0Qq4KakSK%2FpJxJ2EvcxsPDNDL67xJfJ5V%2Bj698z8uPPH3%2Bdx59Fh2xXgBiTsk%2BRONIwwq6LDnJVDLZbwrbUIZ0TCtojJ7SO0r5LcLFfW9YTdRRD0MIJG6toDS5O0FAMDXjiCeGJfVyVb5J5slhnhr5bZF%2FSZWp0g976Tb%2F3FFOqkLYlA2OXi%2BCdvRL3Yn2oKO7p3ntzdD32rvBeN4GPUDt%2FzoDw4mum3A%2B7uTsEsg5mGIVzI47NvStW%2FTyr1vmC2MznNgtSu6KPbz12PN%2B25cShoThPUsv0yMn%2FOCgoECVqS0FD9PVQyjv3jM3n8%2BWDCRvBeZJMl7t8IVvXxHi5XCa3Ti%2FE7cG%2FjQtCY5zlCaANp6AUOaU80CZRUIDKbRLdoJUyEzw5J0xSjhiRbkYkNX2KyzeIxXb2vjELaaqIqTO%2FxT7ho0NDVQ1%2Bi0NiZjE8HXWK%2BQS%2Bjh3kdSzaLgj0u3R39DKWQpRw%2B5PWJG%2BfrmpDfE5%2F%2B5b%2B8s%2Flqz9%2FHv3rnv3%2BMHo9OoFwqxo2OUw1dLimeSMWXpxZ4AHIiCv0TMi1aaKH3nqXLFL9EAw77ZKFzZIPPTf%2FqnCDdI%2B%2BfZ%2FONLka3%2BecMDMC40URO6meUJXKbeSwK7lbSuV1UcIJhHKQKfYQyXVMdVqBHPvp903gD%2F3uztrvDkFXxfnR%2FzPlCwT5EQVKnAYH%2F8UTc%2FC%2FvEkmn%2FUJz7%2BMUy3N0pm5a5e%2BekUAV0hhMy2TUoqrDiDKMbBlcoUjGrmue6EtV6WEgIopog3caH58m6Q1UP2TpvrxbHI%2FW8ewLtN19Or1cpXernf9YOLBJgVlPJ2mKxvemmTL1bLThBMMTScriSTkRP9lCFeZA7EiJ2VzYea18yQKGd5gHHOOIat0UOgu4%2F7YtlO7YlxPoYRNAP35OGQQYcWL4ZBlPzflQLmFFMXkuyJBFWL9KDmFEAksOewg8hZ%2Bkm2lnAqknD5JMffI4yr7kV%2F39NQ2GSRAT0OU5VA67HON2x9p8qCPv9TrO8uu75Mu1SajQCNEgSgVlDEiAyXhnAFcmtLhtRRTEEixq2UrR4BBRSnDXGl1SmisIIk6Nv3h6apTxUMJPoS5QIgzAixkshqUIB6xIhy2fTSqmogx6M0e6s0d8yCZGzYdIRGTqNpGDwJENSjPOMpz8x3j6cfn06k%2B%2FNMquV0a136W68pFpy02BQKUULaN91fVJMJAwtKPlw5oxoLL6mE7c1GbKnjbNr2L%2BYs7GCR%2BV04r2GMnE9TPoOp8Un1PSlt3B7ka%2Bp4GMysu6gOMF5Vg2VmLNS4n%2FO2bX6cf387lu%2Ff34o9vH98uOigFhUPbyT7lL%2BSxnfYJCyeoz8DxK8cCQrOuocC6ruukDQXoK%2FOvkGwNru0gztgR4t2C1v2lbHspWkq1KNLJ2sylqMrA%2BmjHYU0D9sjMIQgBQgURSCoIifIyfTT%2FMKI4ExBDcnCf4Ya7MG0aUsgQpVxRRk48sA%2FZfKbDZT4eSvR6VaI3ggAxa3met0YvHMGPrQFsGCF6llp3KbZPMK1sMhsvl%2BlkD7G%2FVtznShSzhujBmWKBmfFDptjTFrMUem1b%2ByRm46cDB5D26dKBL%2FavfmjCp4Ngrkm5O5tcPjaDF1XhwCCYn7Zg1t%2FFxb97ZLR2Kpmnfy%2FmXz%2Fc%2FP6fF%2FAz%2FfLf9P6rWoz2KKc%2Bx3CNHbEn4Syy4gJASJlA%2BrXCdhiv7TeG88kaBBKpFOGSRWtPiQKLVrfoQ%2BTzcUY%2Bo43MQAFU1JKAhijnoYTX5xQhtxzFSRsaX5huMnrh1w3hopddHz9lwoRSoSKUYgopIRK7vkdqEn1PMWZC4T7rPByc5YOBvZwd%2BSi521ZTyliZi0i1LXMplnbQbP3WbDu6QyF3Ytk2hBqBptqmV4doalB23Sm7qMrL6Sny%2B90sG08bLDBnGFJnPfIn6xasm1asga6rzgdNb8fXyTJ4XuRRTlQCSuU2YShQCoYYAZRIqBhe%2F3bzdrEEStm%2BJ%2Fq3l7irlbiAnNo7HM%2FdQXh6bBgvrlHJILClc2UdawY5ujoWM%2BjNYTW9Z2r8qkeJxNC8vLrVHXRsv3VsM5l1T0KBTl4tSWhQqU%2FRfnw3Xi4fsoVWuvB9knsQ4Rn07zk0KRcAEVoZsVRWpFQBXmoS5mJfiTWbFsf0hXxblWlb2Kb1WkO3c0Uqe61IhQCKEEaF4tJMSA80LiQacLhKlUJ%2F4gg19ZyMYiEJNMNNIglHBdsvZt3DeIK1RHs%2Bye4fTevyjkA65YB9%2Bod9zk1P%2BGCW3uCgBlqK9izXoVatsZOFh5J2BGE3R1vDtDYSJIrzeteFrjbLaC5VXskLMyPF3Gj9NnN4buanzErHvowX6Vj%2F1d9pvLpfaJu9%2FrzJ%2BC5wyixZ6aUYbeBq9Xi2uLsZzzdvXLtMoCGTUTqf5uRl9sPNIqyP5DNh8hEvm6ttSqUMB2QP7qUMPnNvXlxr9JB8%2Bpzqy5lrrmXPaMNDznk5tebXKFZqQ7P2A02TSbbIQwWj1U06%2BTxPlptPkc7TVWq%2Fqn9uafFrzyv1rnLOu5pl45W%2FBtN0eTcbf7Onz9K5aSjyP%2BmtQfLjHVN0tJXwsMz76euTrrJZmp0g5iEZkBpJCogUF4xXOwZg45gnaltG7TpjmARMQbIto3aQD19XlgkmGBEaUnYgDcNtm%2FdIJjwDisQKoCo6J1AB5sePNOym3jAxAWPhxVA0v3Z9B1By6umpVYMyYL4Grc5jzcsWVNs5QdqpE4cQ5ODe6c69ExUxOYEI%2Fb31A8nV3kOq79%2FYpP3F%2FTLNVXvjmb8%2BzLsdGqzxPINCFLGF6pA4ZCaPwtKP25ZdYqAQZsVRz%2BNiur7zvCF7foNYQj96QUioKXtzle%2B5Zgzvnezc73Lq9cq3qP4IYpuWqZ%2FRBwWb%2BdyUCiyRIohT5Pa6w0gqYMb8mknBSkmvD2TrSkGmiJmiwJjpvScJY95doAScUUKhJBwiLyoWvVLwSEiLApjtu6kT7GVtuEteZ0qRDsOpPRzHPZlbpg0lL56hjScIvGpfQliNeDrO5tyjUKJ20c%2BzaN17JNt%2B7epQg8GW7KGD%2B9T0g44goMH2eyS2XyXV%2B33yZZ3sPclub7dZ3lsr7vL5b6cYuUUZYHJre1mmcYAu1rZdaeaWZ9spQEzbSBtPd514jAJWHrmF483cit%2Fx5VQzt%2BrbZJUH0HB8QdwBNOqivva0eQBN8yCt49t0dWjQqf0hqanck%2FEatsmjW53IfrU6aS0AZVOW0F4mzDCtJSTxK%2FbkoVqg3mgzjYT6YLaFGYTtYYOcxW4DNqusjCKF8bo466xlotvZoYhEdp5vdvTMQFaFn6dds%2B4lNQsMWK5bvMF067vpdgYaapuYPVhvT8d6e36%2FutFPS3%2BZE5XoUgo4JLUhOCEAl5W2%2FraPggACF8ewdLUORQCJcjPjaMwS30YLiOqarpznDcHt6G%2FZ1OPX2ozbUaVtmiuXLK7yKM7SQpw717k5eGcVdk%2Bjd5p7ACFQcgElo5B7gQ8kJKCcQFN9JmExuWPf8J3mZqKvo1kZUoQUxR5Qx1ABwhRkXEIOoVWmp4rfHdt2BgU4%2BLuJ3%2FWwz5GWMkWxuG1z1L4BnXW52Inj9gp%2BXU1MY7HfpTbhgn3iBfl8lY2kVtoc734ORyrqQFCifnUfpW10vAnTpb7skKCE2v4EKlXjBbN4ezG%2Fs0JjMIge2zyX98kkTb6YZMbf7rOib1FDnuKDNqH0O67MBNJ0mUy7tJeY5gHEt3Gnan6%2FcRbgcrMF1zOnqBv0coQvZwAStI1rRUsLFtHtJSvoPbRlua3gjhitVQvzJWyyHGldnTNd0TcUm03Qw1p8t7Wb0KlaXoeJ8WgAFuiLMZgEZ219SiCtmUIeNgKoa0X4oyXjmQCHTzX%2FXmpGZzli2k3yR%2FSO4OjQItJwiDcvwLSPsqhYNA9ldJtNk0qV5K7bhjhl50c5JCbsHwlHg1%2BZUkt9%2FPW6gRX88G25Sm53oae2LuYDzz66NYcpnZKCMCYUQSE3tSQKKIkY4RAiopA3ElwpDBBWUkCJOEPEzSbSmoQCQSSVmFFEMe%2BgXeubGXx3iS%2BTy79G179n5MefP%2F46t22c%2B%2BkxkAywapSrcBDYCwmvzIaxDtz6wdXC7VerbrXPslqdL0ag1Vfdoj1Kt8n3E1Jux2sjDrQRKKDSAo0hJL1K5pG5iGJaHuo3ctPKPBLtBXBOS9obPC%2BH0uwpQ9Em7Jwt0qUfdT7aXYI1AZuIUeHSqJC8VsWAOz8OBwimFX%2F1qK0oowBRXk4DjsQAZ4kvd%2BYc2Seee2jsOOBUcVN5m8PETc6Mi4pTYreiPIFLInjzPVJ06whtcEj0wyFhErq9GGWf8lUJ6VAu1aHOx1R4vo%2B063fpeUkWc0YcaazpskEgBwsyqiJ09xTv3mbD5LY80bhCEIiU8ApUOQIYKg0KuNSGPPaN09a17GaUC1RMY24iKPFrjYUG8MrEegShXDDsxT0j58JY%2F8fBfgQS4OtBz5xTzyDblOrgVBhPMcUrbj8%2B7FIhvk57tVedgyaw6iWuavmBXJaum355XJgKV9eldmEH302vfTdNFNY5AbEjCGhwwBxKeGevBZhO9VveLdJJcoqCbS6BpKLWVYM5IEVaC5GuCmMcSCFKhQLeqC4Cyq3VKY%2BVKWY7BEf01dhaoJa1AOisVpG1IYrhwe0yQAprqmRL9bWNV9WqqdXD%2FTRrsMJ%2B8YznzWydx0%2B8rrEVZotsnlhFeDBApAEGewx16o3TLLo3T05Stm0aG6C6CuKTe75YlZKq0V47zP3%2BdvZ8M8vdkkdOSu%2ByZZpHPMirT9lqld3W0U8Zax%2BJrMkBsLZr6dp9U3cG9wA3dfvK5PvyfqmfS03b0SZcFG22KVIgMGnNq64YIWJjUnbmJukg9BCe5NSGJVrbkxX6GC%2FvtCzXe67SrwaPhBLBw2aAL3hLPsn11UteyorRMJ7NsoccWi13Cu7sfmU6wr9cq5sSwZ8EjnRkVMIAMTm0hIq0pKKnQ7Rqizb54eF2mHYJt%2BHK19u9x%2Bd7p%2FoRL8zZf46%2FFYRwaCL4eRHrESHKXbVwbnRc%2BGPr2wLIxgtFxo8WJ7YivyZrrbZuu8MIFt8DGNBX5p9bqu2YZw3G2dE%2BtX3TeAvCDbMZ8X5quc5sNMel6jul9dOEGyGEXM5Rfl%2B61ixIJQESEoUIpIQKidxibIw5AfrqAhGkqCJec%2FPYDNqm5fkTYdA4BH9GDg5KHNQgcVoyqOo3f3IvjKsZ60D2LDpGlMb82mEbpwoC7wPSHjkTHljG5nNZRGY%2BDfO21ZO2%2BrKnfIig7dVdTPQk3n1ac6KZp7WdAAKRN3YVEYqBOC1%2B5V2qx9rmsOgwKyro3D%2BeDw6NNUzuF186lhf1sqstG63R3AlySWuf%2FODk7I%2BTk8dwctYPVuq3h5Mi4glcvQPEckzJyJK1V6AnjpCuYKKw0G6BrM4FeS4n%2FO2bX6cf387lu%2Ff34o9vH98ubIlSPwHP1pdrzQUCBRCe4mgd32WeIxjxE%2BefyjZ55wMbdsCGrUycftkepNe2B%2FZ9AHpx8OGsqLzwnmZF70PHZsU2pWlPhBUfH89EEh5tWdHawj1lRYh9L4Cvx1rzoUAuHyoajQ2D8AO3mRIzOOO%2BR2ec6jU0HWHmMqEQB3risJe%2FiKDAsXgwmP3epT%2F8EXndeus9U8dWYu9SG14XAOnL%2BtY1fsJzQ0tOT0qxGH%2B%2F4O0cEU%2FAlauzoGgKfAbLaM8M60iv63O1heXDOv827RmUeJciKhquC3Pod2RencjTcRbGF8SzEU1s5wDOb8uiXPaaRbHf1OJg1FdhUY0no7Hof7LXd58nbz7M%2BM83L9Gn2dXb6d0oti8yflJruHNFfbVViNNC%2FYEP85C0JnO2B1Vva90Flw1EXaUzKBjAYhvo98rlGeegMy%2B43lxkJry3PX0xvrv5VzY19Uev%2Fx8%3D%3C%2Fdiagram%3E%3C%2Fmxfile%3E </t>
  </si>
  <si>
    <t>Created the Use Case Diagram (v5) in draw.io showing the Customer and Admin actors, the system boundary and include/extend relationships. Corrected it after review, including the deposit via manual EFT.</t>
  </si>
  <si>
    <t>P2-03</t>
  </si>
  <si>
    <t>Sequence Diagram 1</t>
  </si>
  <si>
    <t>Important Flutter process</t>
  </si>
  <si>
    <t>Modisana Motsoanyane</t>
  </si>
  <si>
    <t>27/09/2026</t>
  </si>
  <si>
    <t>https://viewer.diagrams.net/?tags=%7B%7D&amp;lightbox=1&amp;highlight=0000ff&amp;edit=_blank&amp;layers=1&amp;nav=1&amp;title=Flutter%20Sequence%20diagram(%20viewing%20a%20%20quatation%20request)%20use%20case.drawio&amp;dark=auto#R%3Cmxfile%3E%3Cdiagram%20name%3D%22Page-1%22%20id%3D%22PQJkli5OaALZId2sN_EV%22%3E7V1bk6M4sv41FdH14Aok7o9V7vbObvTMVHTN5ey%2BbGBbVWYaGw%2FGddlffyRAGCTMTQjbbdVMh20ByS31fanMVOpGn67f%2FxF529XP4RIFN1Bbvt%2Fon28gBMDWXPxJmj7SJtN1YNryEvnLtE07NDz5%2F0PZsbR17y%2FRLmtLm%2BIwDGJ%2FW25chJsNWsSlNi%2BKwrfybs9hsCw1bL0XVLoM0vC08ALE7fanv4xX9M60wu4%2FIf9llZ3aMbMNc2%2Fx%2FSUK95vsfAHZZ7L0ou%2BfbqA%2BS%2F5u4DT%2FfpsetvboOTI5u5W3DN8KTfqXG30ahWGcflu%2FT1FAnnr5cc6ObM3vJ0KbuM0B099%2F%2FVi8ffj%2F%2BeW7Nw3Q76tf7P9OrFQKWr6wj%2BkgNmvahftoke0Vfgt%2F0v%2BY%2FmQ8%2FvZ3cA%2B%2BBbN%2FfkyAZmZ7xh%2F0qRPBT9nPMIpX4Uu48YIvh9aH5Mkico0a%2FnXY52sYbnEjwI1%2FoTj%2ByDTK28chblrF6yDbuouj8Hv%2BTk3csvR2q0TiYfM0DMIIt5Rfnpb8pS8v%2FX6Lj0Cb5T1ROLz7JtygtGXmB0F2jfm7w70FhWsURx%2F4piMUeLH%2FWn6MWf%2FR7kzoUF3O9PglPzSThs%2FpfRR22Ib%2BJt4VTvZIGg5CDSNTrKxH6jaAd3pZBbhDnIZD8Jf0Oo4I0KySAGhYWvm2Ui3JDqu9lPLVG67DSIq96AXFnCT8pfDcD02JtnfQfP24oh%2FUt6Bmbys%2FRk9bL%2BkCbxglcdszVgqqWViFwNwDCJL2cBMX2p%2BTP04XE6WzvtzPMp2C2qsX7LMz30ArwJf1MC9dkPX3nsBFcoLJLukR93gHXdu%2BJ0LodvzthXzOgn0cowj%2F9Nbkgjfz3TbdHKS7zeZ01%2BwKUBSj98Lj4BV9VQBJQN%2Fi2wFSIW3LxOig%2FKYnkHnRxZ5QestdX6k9JJiBE4JZM1qBe%2FLfbTP8yQAzHdj6wGDmmmVkMixo1uKHa2mCB1DAaYd87AUCyOJVW%2BRzLeO0yGe0QT5srWzJ18VH4GOVjo4gYEF156nuf53nDbnh9Os%2BxlJQ1j4CahJRQsBZD7%2F8%2Fk%2F7rTf3dqgaWfO29LpEANfmATdvy8Q4DgO4pizApcjeCnErWZXcvo%2BN9HsMdRvcNg%2FjOFyXcWsehIvvpKkAvzv09x5tFqgIvoE%2F915Df%2Fkt3Mf%2B5iUDuMU%2Bes0RuYzPomCr4xYvu%2FAFvt%2Bkl5BXPPPWfkCe%2Fk8oeEXkBrMNGe4DwKj7Ej17%2B0RJAm%2BOgoe85%2FA7VOh8awQvKI1T1pkJKGNSk7HKodqEYXlGQPj8vEMlNOvKEMC27zKIz81XowuCT7CA6uO7G686rBc0HIJXGifZ2bOhsjenHSsfyh56X22%2FZWybr0T3yqDOqTfbYdf%2BcpmaPgjDanYppHNl7xMLNx9uzM%2Bn6Rnd2ABaA7HBr1u0wbuSVtwJQ%2FI9wni1I%2Fo9PD%2FUGWsT7U6z9bLaW637NiUQ4DT15qFsEwDHYJSQvB%2FeUM500FFcMwDXtKcOFk1hX1ie2Ea9IMmwXPZg9oBlqGBZJiw%2FrYgXmfOFaPfLtU8wmuDBPPSi5dgojUHadJuG1Dws64x6y4Nls0KFj48Z9%2BvgMyLw9dE8aiyjnIFb0k76RGTtUmFf%2FWeUjh97eHMrMazzuMvih11W2YI2GAPYcFjX6GDDLrMVJ17123Ah409ypA2CTajeRsPbwMwmo3PE%2FzLCn58eweQx%2BvPp%2FePpwZ1tJnSM2NULXCnMMCoZud4JnLvOUjuAvA1xx3CvmFadl7i9CSHbQBjeRY1HPa4Gh%2FZRT5zyOMqAZif%2Fg3viiJfZKuRVAKr7THmpZiSG6GO485MxbWFoxapOHFYiWRdo4rGv3%2BiHdSwf1K7ohm5hre623qbSzlykMoilWrix6GX%2BKb0pjX7cpp9VW25r7dvWhrI7lP%2FibZMEDdsbwXlz%2BpgGDilyzkqgl7rSxJbFJkZPNqntgIpNTswmUEuhtgXz93N%2BFLxvmjk4D9ll7QdZVsdRt4hj1%2B3fRFsM67FdrbVzhpGDB0yQ%2BuOHJ8Dad9ral1h2ljyQflD8ZxIHCu4a6RZQ2DI5bAJHDwKVByU%2BmS2KfHy3pCcVYOHx0PoQpiHVaZ4tpzUND7ZYEN4d913PT%2B4eebv4DY9FiC8EvRUw5%2FONXSCFA0QdeILQDf3Bu0cLfDI9%2FGBdpkVpWmnPzI16fAeKf%2BU97M83koPLPejMwP9zfAasMky4TNeoc9EL0Rkdqw5CZ33GRmeYIPPux%2F9HrufOzH79u7Dl83t2qcmPD%2FpjGI6hfhwhjtHuLMtwB6YYPtulU66MZVYe3T1VxmYjAzYTiZLMGO08bYoxFGMMxxgAG2hNjOFSbyb1JbCRruEYwxiQMfqMf84wP%2FyEjKEPwhi65gw9KDF0EcYwdK3y6B5p5SxjsEEy2YzRNa9cMYZiDEHGwHzQyBhckoU%2BwBgjenydzR4%2F%2FvP0F%2Fr30zKc%2FzEJHJqcVt8B8O3FVW6jxAmU7VaVzZO7kXZbb4Hf8Ff0TM6hH1q%2BZc9F5x58BrwRSco6mhGRdsA7pm%2FdFbpNjYoXunXFm70YP7IBm6aTaE9Zh8Rfl773Enlr%2FO3Tq4%2Fekm5XTn1Dae4bvm5tT1KktUU5U1qWK5kOo497knXGKTWBtAuKdIvK5CC9gx2lUqVPnr52yanSlmuyqdJGp1RpvPdd9fHdh%2FBNIxXJOXkZMbbJyavrtiolT05K3gzFi9URvlC50vWq3SU0qVKlz5hr2lMHi6Zm7xksNBZ2TJBkWLYEYbl6cq6C5YFg%2BRuK91EBixODKF4lR3sxNuJHB%2BdzSpGu1Mguk88VGv8QaMz6VKyhJq5wgiSjsSOIxrZCY5lofGzeygGcA598KEQuaaU7BiIrj4vyuJDJ6eadzeTJdZyc7lYe3WNqOuu64UTJngWpCbKJq9hEKpuggETzsD4UKUS5Wmp1GiguUVxyMu%2B9I%2Bi9d4by3nOCZHMJFOQSwHdKRSYS%2FPff8qHIEnmx5wfKe9%2Bk2qMEhJXD6JwcRi7NpszUze3vvnfqBcnGZdGwKlBx1SOI2pgnlED5W5bmQsB8npTCJg6htihf4d5fogS1Px3Nv%2BlGMMA4cmo%2FRutdmq6EXlFiCNFzk6Z40ZAXJPOx3Dbc%2FBl40eiJmPmvbLqsRNpSUeeroy02zgG0oQIdvCTZxCUaeD5SFvrqiOtksQ5uS84eKvxR1tRRItLKZ6V8VpXFeQEQrM6bCxAuz8tLks0yogF1oCLqUllmugrDZCaClxDIwt8lqafKY1Wr1SqgrghlJEJJgyBa%2FscWFNDBncnoeLeQSEGEcFSkSpbsCvCiQXagouxSGeb37dKLCcMUZzakybOKZxp0u2t521nkrYn%2BNZRTTdQRRV9St2ORFIplBilqkoUL8eF0OqGhDaJex2ZWdlWv%2ByBGm%2FSNS15xRtcpeZSWnGEZhV3PDcAhKrxW6wdsox%2FZDOOGFdwqZwgX53dnTR1AsGR0jKIxacM%2FZ58wGzz70Rotb6VrBa8TbM1fyCy4BXTW9zGcRqjJtcoyPQ%2FLVLfEUnVyAeJWKSdJtk0qGhSGKigsOfMzLhih0%2FRVpYRxGpu0vJjsWdukKuz5g3BP%2F2wdILDYsdMgSTY0i4Y94XWFPeuzTLpBc4a9Gepq%2B8QxsEyPb4u%2FvUrhyE87GS%2BYCVUw86JQ9uItfMPN%2FxgD3TQFPc9UgLiFz0mSTSOicU2o4poNaZ9tbfnBmOqXMPafSfdYBD5KLjd8vjkERQdLCD22NskSbcmKMkT1SFG9%2FYL4yndHxx4D3XWLVM8LGAdlQiBDy%2BMNi%2FRR5sWpYdFZD4t6l73ghkVj172geUL9q8Nd1%2FSy4YdFCfvgi6cB0oSB1FCoVmnVxLGrw1wuo9HuWyCdy8DnJMnGXNEogX5dUYLhMXeaOp2KJv9LmM4BazDFFR5X6eMooQHlmlKuqeo8e0cTzLOnAsTz7DlJsrlENKyhX1dYY%2FSI8x%2F4sWV5kF9mv5UoJkILH72qyHOjjttt2GSYbMgjuY9mdaakuJq1zm0j6Y7ROPmOdsX6w8Bkk9t0dsEirjLOcAtHOG0U4BrTHXMwqZgtmoLLWeRB2oyq5GGc4VVFzdBRpuiopughD9JgrEq6CGhvszRfRVTYLOUkyV5zRHRyDu3HyixViZBnZo4ao0T8FMUoimlKtYeaYFVM2LuMDZuIw0uSzTBQkGEMvosqhpEx%2FfPg8MjoRr%2FHgxPkK89Hs5KrQOcPQkL9k0sgYPWtb3IJL0k2RosGOg0V6Bw4515FMus1VkUyLwpWL9m2tzXIrpgCu86ddaoP72HOs84nXpZsshCNZBoqknkyg9578%2Fw4Xff8EJK4INOenrd8fF4iaATiaRXiCvwkNsUHImsCWAF6jutUHHP%2BAr%2B538Itbp2AQ8vX5MCEE7KWb1nUR0%2BIB7%2F7Qs9IFPmRvHmSx6p%2FjtJ9K3rMNoxwRyDpVZ6f3CrydvEbqWzKEpi%2FWaHIj9mxSSVhdI5bORyDANNkY5yQ8XLkkazBA1eG20YBri7G%2BSXYoZoo5yYsJlKcY6wT6mx26WAqQ7VVeQcu3YwV8A4YQ0094SVJNvhMIGjwUf2%2FEoNPeQduTuwdMKEy0k5upNks4xpMIhq0pFVZM3VlpB0z0jCMx16yqmY%2BpwLL2aCXMPYxuJyDbcamLEJLmjlPaVo5Ei%2FDArtkR2LFlAhI57T1zT2DvafXsblnvCTZdqUpalcaV2VXju5InHJMcUmuwvGzAExLcYniknG4JAlKHa38BLvNtONcDL3n2VXEp8aeaWfaorRiXRWtSHRX%2BJv0PWQs8ubHq7ZkMrgP4%2BLIxBmDTJTT%2BKycxlZZP6Hj9DXumYr2vCTZKOyKorCjUFg5jUd0GtMeowD3egCX84G4fROz2GJFvCTJgGuJRuno9SrA7Qm4uTsd3%2FU23CjAbdJY2AZfVbmIoQIvwNT40AswXTb4wswY0zV2AD9Y8MVSYboqnSDLY1Es8V4idBYxOTZfSgfy1ELF5C7K3roMP%2Bpx081lAa%2F3qBu4jPeTlyXbDBQNqtHOdyVm4OhBtS%2FLJCO%2FsNbqJQXVaBn38mBnRLeopWJsihsG54bqE9SvrqKDTqkbfFGHXIBwUQdekmyWEY2xWdcVYxudZXYeGU8eXL%2BXyjcnIJhR4m6KYBTBNBIM7JjEwREM7J%2FGoTVIkk0wouFD67rCh%2BMTDCIO7mqC0eLwRuUMtlN06lVTUcdLJ6L%2BcwN12NvhxCTu8ZIk47QtGnWk%2Bn8lOK2WpTqDwKMNFeZeG%2BYajE2g9y7BM2EDYWMX4LF1UcyFCnOFMHd6KMF8xAIuwvA8KggqFcZobyefKWazywPIw2wAuhjKSVeu6wHVQS4KxmEUr8KXcOMFRTimmShZvyPqx%2BDv4bivYTIDnKjzXyiOPzL99vb4lZd6WIkeRPHb7NRlZXfIAhdmuRe4ZeaT917IqEjBsu7N02LKA1NEV2dNXnaD4r7plNwznQ8o%2B3MGYwejjS0zbFYVcIjm5QklRsesqtYA3TqD5tctwWEvkIGqpbwZmjpQzKjK33ueOsMmGMgrfGB3CY82oWTe85Sf%2B%2FSm7iX7uW0N1ExW1A2zm5%2Fbrj68h5fbYj3mnCzZtrya5fWD9E%2BBoajJ0kHvoSgnSbb6ioZp7OsK06gVklv1kNO5Bh21ZtBFoe4lW0XANstWEWOL2KBbaSC3%2BvAehYG4RAJOlmRecaAgrzh8H%2F2ReWX08L9aLVlcx9Xkp3qDJlUsmerUdQoU69Czpa2k7KgpUMoOGckOqV%2B7UO9aSoozHgSKSWkNkmSbIaKTqWg3VmaIWrvwbO2QUWZUKRfkObkgXZNxQfYvNMVh9MgZiI7oVCTnuqYiqUJTN6f2MbZaQUitTiB3CammsicGN6dysMGdWwFNR0f%2BDWkZR%2Ft5tQn1HGJUX04W5KlPvOVfe%2FIqSHfPNCkB0uSNkMboZf4pJUmNftymOyVg8ZzhF9m1CGF0e8XwP9uQXld63mjtBYVtr17ke%2FgT6y6GFQykDfstvG3FLgGKMURPMmXmt4fRduVtsgNh2kYe%2BCTrSqQ5h3m6zcfGxSZ7Xhq9oWQL1u%2FNDj%2FbNfswscqFb%2BXTvIXRsnxhuazJG5p%2F97E4IjPtH5NMaUv7JTqRyKh4ivOcFSbMq4TEKiVvsfjltnAbS7QIoySFcRKv%2FMX3Ddpl1%2B5vcGenZ2D3LbzO2v0Kl1Pcj6uQQFapmNJoFj6eQOHuSA2cHmhg8p4eoLNowIyCDcAmBgyHBirkdFFW9iW7eoBt1IWcjG4zTieOVn1491EEZAvn8LIkjyNc0ZCTq0JOkmecBmiRBpgwbO3iVDVyglB%2BniYF1xXPKJ4Zh2dszahJ%2BDRgXSJ8o4vJ6D1d1jV5mhnZXeUaojSjK5oZJaRQms5FXVz4ZIpvWmq6OQbfqLjCWcUVmAUsjN6zbNkFLHhJsoHaEgVqfvLMjwzUKq5wc%2BK4gqvmklwd4BoGA7i9l5mfsIA79jLzruhcElfNJRlqLsnBxdLS2j0T8IVl7B2xPAH1VirwvSLwZVcPMvsW9OVWD%2BIkSQZfoIkW8sp7gIJfMfhNfdpMOiNTOKaytMyRlvNGbNZcZo0OmZANOyJ0WfseCPAV%2F5lEIzEWpltAYcvksAkcPQhUHpSm0aDIx7dL%2BkqhNs3jofUBozmh6Wnae7PekmLGEyn1Qa56vw6%2B%2Bs8oSyyqS83ZoLcCZ3y%2BsQvqeyCYg0YTRac%2FeNIpaP708IMloqI0rbRnRk7Hd6CEVd7DTuChkCxFSGruAQQZNMDtz8kfx3YJxVlf7mfHKKVz7oFBPe%2FF5AOr1I%2FYrHeoSasWArRRYkLKajlrq6V31J6zWsaO2QNNNJqS9wBltSir5TKsFnsMyFZhfL47ya5UdxkB%2F%2Fbl7vrXZTK4ZdTGrssENEeYWeyrYpajgXrxkPxg5JXUyiZqndfKCZ9TH6e%2FKyyNc2CjT0epp1t2AnCPXFFjlZ5yGsFAz%2BG24bYuI6WB%2BnyZavqHUrFjsLHbgY0L9Rbjfxnhz0%2BPYPIY%2Ffn0%2FvH04M42E7PaFq2vSitcgZYvIdurJm36%2FbZsRpyw7mtu35mQVsaRVgoWWvnCn8fZ0Ww4pHlifVlA76px7KIRhjNyakX%2BZpXnTXnexvK8AVhVq7fsejP0cmlRyNW9Gs71BuCQzFE992AU5hArV846BQdhDgAGYQ7LMoZmDtcsYy80bLuBOVwmMYM%2FpIE52HMCi1pMnQdmVtnUMhyXSSeVzRygq7NDMYdiDlHmyEPbHYI2tiuPOQat8Q4UdZQexzCDDmDQuiTSqEO3y%2BtPdz6giTYY3tEdVqUviDbUgEPRxsi00TzcYEmDn4w2IGnYqgeoHjBuD8jrpdaNuCHTBdgUggG7gJofcXYx1bGTXXS3%2F7KPRoMk6UaM6ASJvAdcSUhSJbsMk%2BxSjlwMkuyCf0YhedaH3SNvu%2Fo5XBJN%2FPL%2F%3C%2Fdiagram%3E%3C%2Fmxfile%3E</t>
  </si>
  <si>
    <t>Created the Flutter sequence diagram for viewing quotation requests, showing the Owner, Flutter and Supabase lifelines and the confirm, edit and contact client paths.</t>
  </si>
  <si>
    <t>P2-04</t>
  </si>
  <si>
    <t>Sequence Diagram 2</t>
  </si>
  <si>
    <t>Important ASP.NET process</t>
  </si>
  <si>
    <t>Motlhakane Motheo</t>
  </si>
  <si>
    <t>https://viewer.diagrams.net/?tags=%7B%7D&amp;lightbox=1&amp;highlight=0000ff&amp;edit=_blank&amp;layers=1&amp;nav=1&amp;title=ASP.NET%20Sequence%20Diagram%20for%20(Request%20Quotation)%20Use%20Case.drawio&amp;dark=0#R%3Cmxfile%3E%3Cdiagram%20name%3D%22Page-1%22%20id%3D%22RNcW7AbYlC4a8QO17n5t%22%3E7V3rl6I2G%2F9rPKf9oCeE%2B0cvs21Pd7fTdXrZTz2MROVdJBZwLv3r3wSIQIKCSBidddqdkYCPmPyea57nYaBONy8%2Fhc52%2FQm7yB9A4L4M1NkAQh0YOvlDR17TEQgtmI6sQs9Nx0A%2BMPf%2BQ%2BmgwkZ3nouibCwdijH2Y29bHlzgIECLuDTmhCF%2BLl%2B2xL5bGtg6K1S6DTowXzg%2BEi77y3PjdTpq6YWrf0beas0%2BWQHZmY3DLs4GorXj4ufCkHo3UKchxnH6avMyRT6dvfK8fDhwdn9jIQriJm%2F4FsbA%2FqA9uJ9h9PDn%2FNfwYf0yrKCSDUXxK5uDGL2Qc5N1vPHJgEJePq%2B9GM23zoJe8UyWnoxFcYi%2FoSn2cUgGAxyQc5Ol5%2FvckON7q4AcLsgnIjI%2BeUJh7JEZH2cnNp7r0o%2BehHgXuIjePqCkcBBn%2BIAGO85uMrvnJ8ffZfc8nt%2BPPt89kME5%2BneHAnKnEMw8ZxU6mwQHIfk90Cdf6NkoJge%2F73DsxB4OBjohAP6I6DumDv2T0CZ3iV4KU5TN8k8Ib1AcvpJL1gUgqNmqP%2BegMRn0MypDzRxl7PHK0KNmyM1Qu9oTzxeWvMjW9oR1hnaThSYQ3dKXu43%2FgcwTOrDSBSBssUdX8e6JUI2yhSovG5sARTfpW9kUmXp5SRWbHAurOICGH2cXlm7V%2BHeH2YlhlJAYkwsg3L4kdNh58mqV%2FU0IPVZSEa8f%2B%2BRbBQQOT4i9lcz7I0%2BOjKW3xoZbIMWwDQEqim4DDiuGWYaKLg0rDLrIXfFCUAQP3oULdISYbQooQ4E7ppI5FwmuE60TwChldJWRRD47fP2bnhoBANnAV3p2pLPD2Uvx6tlr8egehR6ZIip00sEXL%2F47eTsASnackVOM7DinRw9eCwc8tUw5OeEKxQ0mpITyOowwdRMiP8VkcQ0KuGHXVWEi%2B4R7yrEFYKmWmUxnEVy2AUaqZuc%2FZarpomeEihqHo20byojSYj9lYWfrHNl06gSyCYb389Ie1jo8UQSOFzEu6qePziPy73HkJUpCnT3iOMabCgUWY05K4l3sewHRjcxGEcVkUbtpVaJwuovIpxG0tZExtiVqI7UsYKBWxoBiKIexdJZ80dUO5QszMDuQL6kBw6w8tVofvSGnQmCMiF2c%2F2jlBQMmR7Mpn9ZRhkxD9cWpxomc%2BtFbIspg1CApSGU%2FGy5I6jp7hrgRsUPeEmbHboi3D0ykg%2BQC33e2kfeY3EbCx2ixCyOy1F9Qaogko5Usv8VhTEYI0Bwv%2BWLIieJnan6qkwA93xGGYBbtwCxYJeQDnghMcytFHZOlnuYDDMjlK8wZRXV6T5bBWeMDYqICHaClYLq7aOnsEvNG5AgqpgoUlsmPwEnn23HaATuuYNa%2FRjHadGmIQcU0RUvMsktyEmp2metsXZKYNCv01VF2KfAGb6En96ZPyP8UN8V%2FeuLtTLMzSuHMMD%2BlHHyTUvkmfcZxIsH9Gq9w4PhFXqzkkVS2zClzRyJ3vwEDNWOa5Iwym0yph%2FsYYX8Xo3G4mOcSoTXrtPEpQAWSdeZtZnQsY2Ty%2FieUBGZF0W5ovqG5HZp1TWuFZtUwzofzf5Px139%2Bdhe%2B%2B9n%2B%2Fbfpy1f%2F2%2FPwHDQX7JYZotP%2BWm%2BWiIr4KLC6mfZ9KLM47WwsI6NpXAgLAvWIZXue32A1MgtLUwW5eczmfvOyovHq0dLHz4u1E8Yj14mdRxrsq16L09mmTwZRmP9eWCkugGTpHHMYtqxlygif6t59DCZzZTFT7%2FWnn8FD%2FPXvP%2F%2F3NFSF9X2n3p1l2yPImZbA4kJ8TR26CmIq6DfaYoDDi37JOwuVsZf5bpsKhzbMWbETYHC8yRx3JkNNWaEXQ2vHm9UOiiWdOWujqSz8cyFc%2FP3EaNjEH%2Bfvm%2BX%2BfVvuCjPJj1nuQ2Kpj2DZPFGhKUsEGieIwEok81plvw9QkH54i4J8vesC%2FlAQgen2FsuHUNItLPeDR7%2FrKbtNLIh0MBaXxssmNFGC7nfHa3KXqzV55aJFske%2BDbG7WxDOPRxpEzFQJ1mtNpK1LPBUfvuoqSRVdMh7igItycLTPEUNv6F2ZXtEF6JdLZvzYfYZFVdoILO5vSnQmwI9zEym3UCBWpbJ609bmgvBRKdc%2Ffno48W3jhVoI004dgl2wP1e6YEYD2gaWEilhxPQk08eepaiDZmqAyOgaEdCl5xMY5fg5TJCtV4E4JWfzkOlqRBVVb2Wlmwh2jLWVB3UlR9sqte41kVpXIIXnQ%2FwqpYyUlsGpqgXW6KmwZ61bqMY8k3rft9aF7Z1WzU%2BCtOZ2rXauQwXoHZzvzXdySKqlJOpyVjBt02OGQmlqeauyuSWraWVI5soZ2hpxTZ5zWoCLs%2BksZbm8voEQpIlrnWKin73wB3v4jX51uTrxDTc8keUJnR2gkbAa%2BVu0KjqkDMBbCaMTna7LauOlGQ0sl3Rm%2F6%2F6f8jYWsVignTjQwAU5rfzeoG%2Bqjg2dfsGPQor9mBFWK068xPUF%2FB03uJjqpVwUEs0TH4ei5iIciCg3WCWq3byWVOWNdFOtqgVKRDc2fPKNNJdBwcFOt0oG4NTq3TEfX%2BoJlvzmbpUnxzlaUR7EvCLH3EBNfJuyLEfBjper69rPC0uRuUragbFSxeXv5IjqcKISgIp5Jk0ie%2FLMn7%2FiS34SYWwgEBViXr2gi1quw%2Blddxqm4LRaqKrJT3fXbh97Pqd36ELnaloQFG8tZaOUGDtXYMs0Xu0i8seYLZRj%2FvCZY360uqkx7cOzE1XsgIEdfAauQ6pnIBgvFiQe4%2Frl72E93GpPJVO7zC53iNCm8b570RzvcbRVqS9RFhmCuFaxmKTcArYPEIfmnFCFAq5R%2FxNJdeSLstzFGymvsIXUfIhUeM626jb4pitNzxUFVzpBs1xKRjt5fg8fsRtb8ET3KEraJCWcLW4lS32nJX1waaILgFYtIBe0qSXp13a4ktKN4e2W8mle%2FIp4Rk6BOKItr7qAtkl33FVtl9VtmXHQpEmkpuAbu2YMM2l91GE3KymUFpJKyv1inK3N7xdhtiyl4lz7d7x0fTRwYsoXeommA%2Flne%2FkNVeZ19k%2B07X86CTCzy6zjMUeMlOQe8ur5mnK%2BXNbwgaOM1pHku9OnPlr9WHeCM7LN%2FS30uHLtRVsnUPjhQYnLdZCgudk%2FgoKl912dwqA4IqEohJV0S9lE6cBl%2FtcuDL9imKrcTYa3F7YqgPjvURk9EEb74mE0C9cR8tYspLhTxXeYkySWZCmQ%2BOxBS79dsNra3bDgXTz2CJNL2xm3l57HbJ2mKOkvTsQvZXV4k1UEqItDLQZCgtN%2FAqsrFFYt1BdvJp9mQZXzcPC%2FyPpm3uhr9qj0PYB2CvJdWryhBOCJBJJNgEH3C4%2BYH%2Bmjmxk2TTgN9CF4U%2FXmvWIl%2BhZ9pmZ1AWaElG8iWaOhckewV3UkB%2Fbrp%2FxKsE778ESwL2biWzAsuhdU7cyZPTlsk5ic2xbY%2BsGlqysd0ydai6aEZm%2F82DQYp6%2FFVDrK861bIgVDRTGxkthSEhNrLKvZ%2BhasKRpvULmlsad13l4LPjJaEKd5PIuxlaeFEi7EDql%2FVSlkDNVb6SWaK5qvHZA8239MVQvUBMtrnaSwbKNWP6nizm2sk6Q9DfmFqo12qgVvpbbRvy8HU1IqXu0FupeXtxtq7WQhXgnRukbAfi0iPJYgKVCVtanUm%2Fi0Jyr11DVzJ0b9sgJ0H3M469JUVnWi4GMN1HczMUE8h2l1UlEc%2BV0tcUE0wby18dHIW0SFkyqLUmGO64Pkcr1efoRifbB5dZgVNVka0pZfRqvE621COR27M6ALfrgtK6qqafEpgL8Z%2BFdYRAaan4FGAbI%2B7RSVBwkCRLhlPiLTc34%2BrdDD4Orlh2Wx%2BjYk9HICYZvFdch3X8CYG0oBuCJPds6ntphnqeZgKSPLQ2mkrMPCKLJmQeaWpZxCk2U2bdN6u%2F4qKq05eQeXd9LyBUumhZWr2AtzhVjQKZOsEiefLsO1AfFX4SBG13D%2FgolUhJsvpgya4X1Or0aPO3SzGBu2%2B8VtOoQjYOGrU7fVfPRhlCXVhDsoqylES7jIW326ytZ8nL6u1%2F5bu6R6f4O%2BJKS%2BuPJXtJ4HyzVrnTNSIfTJymJ8fznUfP92K6IEv5beN7aJRbYYXp7ClLp7vxVi0t2YzeSwzqlrp%2FgG2irRMMmsTea1L3Z9lDGaZO7Ph4tSvG3dPPeCeJ%2B5retim1mLiv8bpe9sY8uFaxL8Ndz1KeWRboDMVEW0SdyX9JTS%2BrMGnrrXM%2BLaE%2FP09LNiavtdlOv3XytT3gmM1e65O0SduTh%2BR3VxRvNeqGeevj%2Bn33cdWAyHhCG1dVLfvhNjhSRXCWPwh7yXvq6dFjtd3Y49BDNDFk%2FySxrNiUzlKwxG%2F8PDGVCwOoZttIjlVDSLZm7%2BV5PDfPTppnl1at1jLJ1bp3FYmsGt8GqzGzmbpIq9%2BNDHirDDzGbwKjfEQOxfcuTV1Nnqb119qJo%2FF2SwMZ5GUnaO47c9VSQDsI1%2BStCnS7g3PlA9ZvqQU1hsw8xiG1Ykrlq1eZWVBVUQD48HnzDSylhpJk4MKbGD5FDNMHz%2BDQS3Isd109dUZm%2B2Cut72itYxXVBUaCsQkY1U7Aat13SzNfp9SWPl9LitXxrLLOlR49ullPhX42MzewlqnhLXQ%2FkQxbpUfRLRCKligu4rritEv33t0nrDnfiG37gWrI3GyrgJpPuWPoeuE337IY2pJKxhyiFz634%2BdRcOY8C4Fw0ry3LL5R32pxunNEMlhiOmXzhkjdLbrT9hF9Ir%2FAw%3D%3D%3C%2Fdiagram%3E%3C%2Fmxfile%3E</t>
  </si>
  <si>
    <t>Created the ASP.NET sequence diagram for an important web process, showing the lifelines between the Customer or Admin, the ASP.NET website and the Supabase backend, including the request and response messages.</t>
  </si>
  <si>
    <t>P2-05</t>
  </si>
  <si>
    <t>ERD</t>
  </si>
  <si>
    <t>Entities, attributes, PKs, FKs, relationships and cardinality</t>
  </si>
  <si>
    <t>Phahlane Lesego</t>
  </si>
  <si>
    <t>28/09/2026</t>
  </si>
  <si>
    <t xml:space="preserve">https://viewer.diagrams.net/?tags=%7B%7D&amp;lightbox=1&amp;highlight=0000ff&amp;edit=_blank&amp;layers=1&amp;nav=1&amp;title=ERD.drawio&amp;dark=0#R%3Cmxfile%3E%3Cdiagram%20name%3D%22Page-1%22%20id%3D%22gWOokk-qHZj6GwECZU_W%22%3E7V1rk9q4Ev01fITyi9fHMI%2Bd7J08dibZ7H6acrAGfGNsrjHzyK%2B%2FMrYMBtnTMJYlm65KVQZhG1Af9VG3jlod82Lx8kdoL%2BefAod4HUNzXjrmZccw9KE%2Bov%2FFLa9pi671k5ZZ6DpJm7ZtuHd%2Fk%2FRC1rp2HbJK25KmKAi8yF3mG6eB75NplGuzwzB4zl%2F2GHhOrmFpz0jua8QN91PbIweX%2FXCdaJ60jvo7V98QdzaPst%2BXvrOw2cVpw2puO8HzTpN51TEvwiCIkr8WLxfEi3sv3y%2FXBe9mXywkfgS5Yf63sZ6MA9e%2F%2BfL9h9%2B%2Fvrj%2F%2FrFr9A8fkz55Fb2yTqBffRn%2FGdk%2F46bJKrLDKLWVqdEG2vuR7fokpA365rXn2cuVu7n8cnPF3PWcW%2Fs1WEfsQezV5NF9Ic5dYqr4bmq1W%2FqwVXrrI334ffpl4rdtz5359O8p%2FcbxJ05CsqLf5dZeRekV82jhbb%2FJeuGzxyVPX%2FsOcdKHe%2FZP4k3s6a%2FZpv0i8IL4R%2FiBH%2F%2FQpCeebG%2Bd9sT3Ff3EpJGEEXnZ6bG01%2F8gwYJE4Su9ZL4DDEM3kvuetyjSRyk00sd09cE4aUhHS3ecDh87RfEse3j2eXcU9bY%2Fo72T%2F0BTO%2Fi8cX%2Fv47Tcp421%2FIfZHu1e347IJO6Z1S646B87v3TbtIHcMfAbHMKvFKdFoLyLR9ZkHoTu7xiKXmrdXaBuXj%2B7C8%2F26ZC1nb2mSbDxURvAuZ63B4RDQDthsPxmhzMSpQ1L%2BpWjTdf1J%2FQf7cwLrdfv9Ol3vaCv9e1r%2Bi%2B%2BPIwuAn8VhXTgxM8gFL%2FPJMbwJAqWDJ7kkT0%2FTG0b%2F%2F0ziKJgUQWgTwIzB1sZll%2Fzl%2FCQm0PR0ZAZQiEzKIQMvTdybW87dDYeLOYPe2tgDgq4dslssW%2Bkfb8V0F5%2B9DYUMHcdh1AfNnmeuxG5X9rT%2BKJnyqF57%2FUu0379T1XGLTPm8W5o%2F2l1%2BJlRU0DDyC25drKi0HD92W1y52APVX0JqIoZ0LcXpDLH0c%2BTYLVYy54uBmzE%2BTCZOX%2F9Dn75n5e%2B9eRdf7vpgh0UclqVnFY5hQ0qoDAuQDjOqAxISGBnRWBcKIwbAhnl6etqYbseclchJ3GAhuR1BHlpqgZk%2B9F9ZQEZ%2B%2By3ITOW7JyI47LnyaCzcyQzPmI4uUs1EfMmndWNoWs3XEUPGH%2BVwstADmsnh%2BmGMBIzgZhh4EISO3cSs5qCGOVILF6pQw4rRxc4YY0cViWHVU9Z%2B%2BCpjrKgoTrD0nlRFjKUBQ3MpQNEOYa6pIZ5CB4ffrohNSCyVEG2WYciDFlKcZYaVcBSfIhwcj2lWEKWai1L8e3OydaoCRDlWOou8DCEKp7%2BcDxPq6St75vhkGkQfg0DZz2NTsJQptAuEbSO%2BkfoWd8VDFnQnK%2F1BgTOdSaiTGKwNiGpBU35MmyhDuesZit8LECzvtJBo7wSJyWfB9rfOIcpQhFnew7SWhuWMqsQl%2FKRAN1SYxXnZFoccONK5iEQoIJ16YhRLgL%2FjIuYZXiBLmIiezWMvYSJSS3ooqYle80K2UsN9truxFcdMcqx1yVZTUN3GbmBjyRWiC%2BoWBlJrGEkJk5N2odmo%2FvFmEEWOysWgyajpSNGORb7GrpTDMI2j79xBqOr7nP3njzdP%2Fyp3ZrrGXg3OtKX4hKdKoSkXIRwovQyJJ0XV50VNXHNzonIlYSHcsR0Qc0yC9IBeu7cxJ%2FMgFdTkZzUJqcq9KN8iEBXQBmWkJ5aS098u0PXO6UDRDmC%2BriwZ%2BRhHWI9lELQ6LxtnqgizWJvymKPgecGJyEIJiE1ckxjDERJSHUTSjUZKHA6kvd4yuQDaxOR6iaUfjJ4oYwUJy26CU3LyYeN%2BkJSRkIoJe0Up2egy5hIborH2lUoR7kI4SxaliHpvALtnRJcZ0ljXCRwFi2VRIxykTfufYDMkaDyUaSspklvhOlHdXBVHF161RPU3igSjIEL5cjHjHJMhjsgyqGFYVdbOUycfFQHVzPQSxbGkcTOi8SgClL5mFGOxHAjBCDYh2p1kMkUTyCKU5LyDhMtgdJ5kdZZcRTX7JylUiXhoRw%2FoZL07ekP0lNrAy1h4lIdXF8nw9d5cRYGWhwkgBU%2F0jGjHJGh4hRwOBZvmlROWZ2jFaebFkmK0wNUfAkdetMpiDCsEvpgjxkaOToRV4TU1KGqrszIOAnJezAuPkRNLISpQk0dunSdQabJqtADg6HSc8fA4GNapEOhDqUn3%2FmjEKYMGGyhCWnlVFrR6qQVYaU9TQO6mpxBpsHh6oG9zlN4WWBfozFIEBGEHmDj%2ByrucpSilAEBfMQpsogCLCLuvHYDfnKp2T4WQQ7JrAtNfsvHQS0csjn0z12t1gSDkWIsDDDHVR2NNEiUaA7AOa2B7ERGZbSBLGEOwPkr6WavjyWi4OGSeO7TicsW58EU4MrJyBQymELcweTg8sem9Gq2yBQVjndwgkG62Wthim8BdVUPSyxPXD6%2FQJZQmSWEae%2FMAZglBrLdBbJEheMdzBLSzV4LS%2FxN%2FDXyQyEKLA0XvxXmh6yEY%2FUngWngg3cYRJAfms8PlgadFsg3ey38cB%2FZ0XqFBFHo9g3eAQXlTNBpgV76Y0QWJ6Eic%2BElmuk%2B0yKK10ybYH5nhkZ%2Bz7ullmimTXAiwJTt%2BFEzLdalm%2BDUgHQoyNRMUwZA4XQpOsC5BuQWBSRv4oTTvFMcyiHT%2FFgShdNc%2B4JFb9KRUEt4idtv3oYMdMM3sogKLCJOOA0%2BtCGDDLJIS1kErIWUjoRaWATrmUNAA1ZSIo8owCMCpdTggtMZZtpEJEgjGQ7gKU%2FZOKiFRv5a237kRljnrgQy4NQokkirRNXg%2Bs4ZRNrEGRh87NgXnMyUjoR6gg97%2BisuK4fBRxkU0oiVODOy0zV82USwDqek7GkcqV38YLbORf30PJgFvu1dbVv3Kgdur7kNNpiKbftfEkWvKfnY6yjIW568uNE%2FO3%2F%2FGz%2Bq109fXb4w9xO%2FYMREf1v4%2Bs%2FmQk3rs4bkTm00ZA3bmzevcnd%2FJaFL%2B3%2BjDEkanQ9huMHs1R0dFd%2BCT7b%2Fmrxx7Xo5It1euLB958tmCG3e2L8w%2FdF6%2BgG7L5OujhhxvkH4h2APiWdH7lPe7AIIalwhwjiTlwYATB%2FkAaab%2BrsB9puEAQxhyZVFGAuDX%2BRH6oT0Q5AdgBCKusQVSEMd86XV%2BDXOmk8DYKfpHRF%2BDYa3FJmCnJpVQOB1oYsz1TrUFtLZRpS3KG8KkwzBvekUZ4Z1oA2M5zPu1PY%2BpG8s6ESJA7zDeZFnV7fzbJCfEbFeYPpAtuVTgAl4h0o0ygR0Wqr9rCynsWcIXRvlLaFr4kYDqDKxoqb46E%2B9tSNqPGTbmjIziLMCZxWyMVa4I49xzQSNUqAYQ1gMpFtDiHNNnFXAxljiItG7CzLDcN8tMTcuwAog%2Fb%2BiVhA%2BHoajft4QI2GOaQRyTG3aiLEZQ9Poyv%2Ff2g1PY3jIboz9CvaGOHIZgYUNo%2BJqP2e9vNCS3RgjsFhhJPtMZNyNITZ1zAR1DYCClN0YqfvH9YdSEIEXrZBYFBA%2FiduKMQYL8Meyj8%2FCdWyxLgGsq5eOBKxhrwiLgBX4yCIKsIi4rRhjcJw6ll2VFllErEsAB6rSkYAb%2BpRgEUsDSymRRdpUwt7SoEFoBpHmswZShKVBQ075Zq%2BFIj6R1cqeYZxRggNwaIoM0aZdFpYGDTAziCBDtIEhoOGkfLPXwhB3ZLWkLgApohgITFZUjfCYE5vWITxmIuI9AXG2T6JQPnwgUP8C1QuftgfiFIl00qNvK9j7x2iMUwBrPW3ITsUrBDH96fbrzgUpEW8%2F7GvcsH2opWm9vGyKbbS5ht9BW8bl91hWBfekhz1tR1XyY%2Fm3m2O9xwQF7DPNUY8lHln%2FJMMkvVfEkOXE%2FY1RionWr%2BbNOxQ2w9KbLKm%2Fi11CzEjC9Hr7hjAGoirvWqzbq9mwJXVHoHYELWx3zryb9N6%2FK6uanX%2FJ%2BuhxDNbVqP9ls9nKKKxLKatn5BDcTc%2BFKuIWzi2WYfSGpTeNzJ713lveIlfdHPaG77zDGOXuyPNkZcTG5r%2F5cCOephwO6HJfsDd8b%2B2fxMsPuSN8aSyl3Ql98nmIONWwUWOleDd4%2FnYS%2B9qLkFCn63SO2kVTPnkba2Z%2BOtItO8eiCLf5rAQ7Vps9IXh8XBExExk2cWokh95TJyeIPLvZNZnavcTBvY89YVsD26R2T%2BssnGS7Uw4dMFhFeAHGA68I9IulR2ed322HzN3ibWkshwzK3FuaA%2Bbtq1QUClJk7lhmBwIi8EICEosCAkVhMneLtyu1HDLNX0jEEp%2BH1h2AQ3DpOKhlZfEzCtxL4QI%2B9BL5QwH%2BECZwt8CnY1vSj0lG%2FhDpEKBaZfk4qIU%2FLslqGrrLyA0qK13SRhoBC52RRhSgEYGS9wE40zmQvckSeUSkRwAnOqXjoKYTa9zqiiM2mkGI82Eyc%2F76HfzyPy9968m7%2FnbTxTCk7fp3rtk5QUcZPJpPFWfFDFxTcuILJU1eCyt8XMQrHOvQQ2Yonh%2Bk62TVCN85R1SoXnH7SLH8MVWzASW49%2Bu4V1VoO1nUBAqpKtMLDofDXr5y7qBcxXd4gzGsQ2I3LAG58pKremu9msI0V6wOZiONIL7U654dDKuCmrv8uQBoI0WbtG9xbaaHD%2BtoTu%2Bmxj85%2FZhlekp0cF19MK7LkJw8YanFMcxruAyOb11OkrAULyiCa2cwqHOyhGoCQYoELk8AqIQrAwhHTYnMouoCVBU6OL51OXrIUrw0P6V47mX6%2BOblyCHVxAGWelWCP3hbF5E%2FVOWPKnRwfBhw0m6leGkTfyB7MONy8n5qoqCmA69Xq%2BcgxOijGAdpHHvsGhWUYeosbZEtS%2F3LPA3kUNi%2BZnZ2lqn0nqa%2FXeAieuNQ2O0Z1icedZ105O5iFL%2FHNT6OKz%2F1lQ%2BeJh%2BwuJOiEFUrqDvY26eti0pPG00%2BYPHGfhJmgWHeArpuvd8C%2Bo0zGF11n7v35On%2B4U%2Ft1lzPsrIYlSz26%2BZh1lB9TxoLIvc8aeZaj%2FGkR9QFgpYa2q2fYnYq0wL0jyknVD3kcKW9aNyPrfxhnpUstfONwJlxN8YIwlfax%2F18JalT%2FC99GQZBtDvvpd01%2FxQ4ccWlq%2F8D%3C%2Fdiagram%3E%3C%2Fmxfile%3E </t>
  </si>
  <si>
    <t>Created the ERD showing the main entities, their attributes, primary and foreign keys, and the relationships with cardinality, aligned to the shared Supabase database used by both the website and the Flutter app.</t>
  </si>
  <si>
    <t>P2-06</t>
  </si>
  <si>
    <t>Flutter Interface Designs</t>
  </si>
  <si>
    <t>Main mobile screens and navigation</t>
  </si>
  <si>
    <t>Modisana Motsoanyane, Phahlane Lesego</t>
  </si>
  <si>
    <t>https://www.figma.com/design/jVTwOe6OxguXIdolAzv0w7/Untitled?node-id=0-1&amp;p=f&amp;t=DSvcmii7em04aACb-0</t>
  </si>
  <si>
    <t>P2-07</t>
  </si>
  <si>
    <t>ASP.NET Interface Designs</t>
  </si>
  <si>
    <t>Main web pages and navigation</t>
  </si>
  <si>
    <t>Khiba Sonop, Mchaisa Michael</t>
  </si>
  <si>
    <t>https://www.figma.com/design/fmW3wiEdqsj3hX41NPr0vC/Untitled?node-id=12-7434&amp;t=AwiDq43pfrR0g2t0-1</t>
  </si>
  <si>
    <t>P2-08</t>
  </si>
  <si>
    <t>Design Alignment</t>
  </si>
  <si>
    <t>Requirements linked across UML, ERD and interfaces</t>
  </si>
  <si>
    <t>AkeaEvents_Design_Alignment.xlsx</t>
  </si>
  <si>
    <t>Checked that each requirement is covered consistently across the use case diagram, sequence diagrams, ERD and interface designs. Inconsistencies found were corrected.</t>
  </si>
  <si>
    <t>P2-09</t>
  </si>
  <si>
    <t>Updated SRS</t>
  </si>
  <si>
    <t>Phase 2 architecture and design section inserted in existing SRS</t>
  </si>
  <si>
    <t>Gumede Nomvela</t>
  </si>
  <si>
    <t>AkeaEvents_SRS_Phase 2.docx</t>
  </si>
  <si>
    <t>Inserted the Phase 2 architecture and design section into the existing SRS, including the architecture diagram, UML diagrams, ERD and interface designs.</t>
  </si>
  <si>
    <t>P2-10</t>
  </si>
  <si>
    <t>Microsoft Project</t>
  </si>
  <si>
    <t>Schedule updated to reflect design progress and upcoming development</t>
  </si>
  <si>
    <t>Khiba Sonop, Khunyeli Paballo, Kutlwano Semela</t>
  </si>
  <si>
    <t>Project Schedule 2.mpp</t>
  </si>
  <si>
    <t>P2-11</t>
  </si>
  <si>
    <t>GitHub</t>
  </si>
  <si>
    <t>Current design documentation and repository organisation</t>
  </si>
  <si>
    <t>Mchaisa Michael</t>
  </si>
  <si>
    <t>Uploaded the current design documentation to the repository and organised it into clear folders for the diagrams, SRS and interface designs.</t>
  </si>
  <si>
    <t>P2-12</t>
  </si>
  <si>
    <t>Phase 2 Presentation</t>
  </si>
  <si>
    <t>Presentation and defence preparation</t>
  </si>
  <si>
    <t>Khiba Sonop
Ramotete Katlego
Motlhakane Motheo
Modisana Motsoanyane
Khunyeli Paballo
Mchaisa Michael
Semela Kutlwano
Makara Karabo
Phahlane Lesego
Gumede Nomvela</t>
  </si>
  <si>
    <t>15/10/2026</t>
  </si>
  <si>
    <t>(TBD)</t>
  </si>
  <si>
    <t>Prepared the presentation and defence, with all group members assigned speaking parts. Completed ahead of the planned date of 15/10/2026.</t>
  </si>
  <si>
    <t>Phase 2 Individual Contributions</t>
  </si>
  <si>
    <t>Student Name</t>
  </si>
  <si>
    <t>Student Number</t>
  </si>
  <si>
    <t>Activity / Artefact</t>
  </si>
  <si>
    <t>Assigned Responsibility</t>
  </si>
  <si>
    <t>Work Personally Completed</t>
  </si>
  <si>
    <t>Date Completed</t>
  </si>
  <si>
    <t>Hours Spent</t>
  </si>
  <si>
    <t>Verified by Group</t>
  </si>
  <si>
    <t>Verification Date</t>
  </si>
  <si>
    <t>Quality / Review Notes</t>
  </si>
  <si>
    <t>Contribution Status</t>
  </si>
  <si>
    <t>Activity 3.1 &amp; 3.3: ASP.NET Interface Designs; Design Alignment; Microsoft Project</t>
  </si>
  <si>
    <t>• Identify System Components
• Identify Application User
• Review the Approved Requirements
• Identify the Required ASP.NET Screens
• Create the Wireframes
• Check the Mobile and Web Integration
• Update Project Records</t>
  </si>
  <si>
    <t>• Participated in identifying the System Components
• Personally Identified Application User
• Reviewed and edited the Use Case
• Identify the Use Cases
• Select Important Processes
• Identify the Participants
• Identified the necessary screen that need to show on the Website
•  Designed the Wireframe for the Website's desktop view
• Reviewed the correlation between the Website's desktop and mobile view</t>
  </si>
  <si>
    <t>Yes</t>
  </si>
  <si>
    <t>Website wireframes were checked against the Use Case Diagram, and the desktop and mobile views were compared for consistency. The design alignment check traced each requirement across the UML diagrams, ERD and interfaces, and mismatches were corrected. Outcome: accepted.</t>
  </si>
  <si>
    <t>Activity 3.1: System Architecture; SRS update</t>
  </si>
  <si>
    <t>• Identify System Components
• Illustrate the System Architecture Diagrams
• Updated the Project Records</t>
  </si>
  <si>
    <t xml:space="preserve">• Participated in identifying the System Components
• Illustrated the System Architecture and updated it with the changes to the Use Case
• Updated the SRS
</t>
  </si>
  <si>
    <t>The initial architecture was reviewed with the guiding lecturer. It was revised to show the shared Supabase backend and to add the quotation and deposit process. Outcome: accepted after revision.</t>
  </si>
  <si>
    <t>Activity 3.1, 3.2 &amp; 3.3: Use Case Diagram; ASP.NET Sequence Diagram; ERD</t>
  </si>
  <si>
    <t xml:space="preserve">• Identify System Components
• Select Important Processes
• Identify the Participants
• Illustrate the Sequence Diagram
• Compared the Sequence Diagram with the Use Case
• Check your Design Against ERD
</t>
  </si>
  <si>
    <t xml:space="preserve">• Participated in identifying the System Components
• Edited and Reviewed the Use Case
• Understand the Use Case Relationship
• Illustrate the Use Case Diagram
• Develop the Database Design
• Developed the Sequence Diagram for the ASP.Net
• Edited the ERD
</t>
  </si>
  <si>
    <t>The ASP.NET sequence diagram was compared against the Use Case Diagram for matching actors and steps. The database design was checked against the ERD for matching entities. Outcome: accepted after the group review.</t>
  </si>
  <si>
    <t>Activity 3.1, 3.2 &amp; 3.3: Flutter Sequence Diagram; Flutter Interface Designs</t>
  </si>
  <si>
    <t>• Identify System Components
• Review the Approved Requirements
• Identify the Required Flutter Screens
• Create the Wireframes
• Check the Mobile and Web Integration
• Obtain Stakeholder Feedback
• Update Project Records
• Show Navigation Between Screens
• Check Alignment Across the Complete System Design</t>
  </si>
  <si>
    <t>• Participated in identifying the System Components
• Edited and Reviewed the Use Case
• Understand the Use Case Relationship
• Illustrate the Use Case Diagram
• Select Important Processes
• Identify the Participants
• Illustrated the Sequence Diagram
• Compared the Sequence Diagram with the Use Case
• Designed the wireframe for the Flutter Application's Desktop view
• Contacted the Stakeholder for feedback on designs
• Ensured the complete system was aligned</t>
  </si>
  <si>
    <t xml:space="preserve">	The Flutter sequence diagram was compared against the Use Case Diagram, and the Flutter screens were checked against the web designs for consistency. Stakeholder feedback on the designs was requested and considered. Outcome: accepted.</t>
  </si>
  <si>
    <t>Khunyeli Paballo</t>
  </si>
  <si>
    <t>Activity 3.1, 3.2 &amp; 3.3: Use Case Diagram (initial version); Microsoft Project</t>
  </si>
  <si>
    <t>• Identify System Components
• Identify the Actors
• Illustrate the Use Case Diagram
• Update Project Records</t>
  </si>
  <si>
    <t>• Participated in identifying the System Components
• Illustrated the inital version of the Use Case
• Kept the Project Schedule up to date with relevant information</t>
  </si>
  <si>
    <t>17:00:00 AM</t>
  </si>
  <si>
    <t>The initial Use Case Diagram was rejected by the guiding lecturer as not viable. More members were then assigned to rework it, and it was reviewed again as v5. The project schedule was updated to match the revised plan. Outcome: initial version superseded, schedule accepted.</t>
  </si>
  <si>
    <t>Activity 3.1, 3.2 &amp; 3.3: Use Case Diagram (initial version); ASP.NET Interface Designs (mobile view); GitHub</t>
  </si>
  <si>
    <t>• Identify System Components
• Illustrate the Use Case Diagram
• Review the Approved Requirements
• Identify the Required ASP.NET Screens
• Create the Wireframes
• Show Navigation Between Screens</t>
  </si>
  <si>
    <t>• Participated in identifying the System Components
• Illustrated the inital version of the Use Case
• Kept the Project Schedule up to date
• Reviewed the correlation between the Website's desktop and mobile view
• Designed the Wireframe  for the Website's Mobile View
• Added the Navigation Flow to the design</t>
  </si>
  <si>
    <t>The initial Use Case Diagram was rejected by the guiding lecturer and reworked by a larger group. The mobile wireframes were checked against the desktop view for consistent layout and navigation. Outcome: wireframes accepted, initial diagram superseded.</t>
  </si>
  <si>
    <t>Semela Kutlwano</t>
  </si>
  <si>
    <t>Activity 3.1, 3.2 &amp; 3.3: Use Case Diagram (v5); Progress Tracker;Microsoft Project</t>
  </si>
  <si>
    <t>• Identify System Components
• Identify the Use Cases
• Understand the Use Case Relationship
• Illustrate the Use Case Diagram
• Select Important Processes
• Identify the Participants
• Compared the Sequence Diagram with the Use Case
• Check the Mobile and Web Integration
• Check Alignment Across the Complete System Design
• Update Project Records</t>
  </si>
  <si>
    <t>• Participated in identifying the System Components
• Transcribed the initial Use Case Description
• Illustrated the Use Case
• Compared the Sequence Diagram with the Use Case
• Reviewed the Mobile and Web Integration
• Checked Alignemnt across the complete system</t>
  </si>
  <si>
    <t>The Use Case Diagram was reviewed against the lecturer’s feedback. Relationships and the deposit via manual EFT were corrected, and it was finalised as v5, the baseline for the other Phase 2 documents. Outcome: accepted.</t>
  </si>
  <si>
    <t>Makara Karabo</t>
  </si>
  <si>
    <t>Activity 3.1: System Componenets</t>
  </si>
  <si>
    <t>• Identify System Components
• Identify the Responsibility of Each Component</t>
  </si>
  <si>
    <t>• Participated in identifying the System Components</t>
  </si>
  <si>
    <t>No</t>
  </si>
  <si>
    <t>Activity 3.1 &amp; 3.3: ERD; Flutter Interface Designs</t>
  </si>
  <si>
    <t>• Identify System Components
• Identify the Main Data Flows
• Explain the Architecture
• Develop the Database Design
• Review the Approved Requirements
• Identify the Required Flutter Screens
• Create the Wireframes
• Check the Mobile and Web Integration
• Check your Design Against ERD
• Check Alignment Across the Complete System Design</t>
  </si>
  <si>
    <t xml:space="preserve">• Participated in identifying the System Components
• Identified the Main Data Flow
• Explained the proposed System Architecture
• Developed the initial ERD
• Designed the wireframe for the Flutter Application's Mobile view
• Ensured the complete system was aligned
• Ensured the Web and Mobile integration was correct
• Checked the Alignment amongst all the System Designs
</t>
  </si>
  <si>
    <t>The ERD was checked for keys, relationships and cardinality, and for consistency with the Use Case Diagram and the shared Supabase structure. The Flutter screens were checked against the web designs. Outcome: accepted.</t>
  </si>
  <si>
    <t xml:space="preserve">	Activity 3.1 &amp; 3.2: Sequence Diagram draft; Updated SRS</t>
  </si>
  <si>
    <t>• Identify System Components, 
• Identify the Responsibility of Each Component
• Identify the Actors
• Identify the Participants
• Illustrate the Sequence Diagram</t>
  </si>
  <si>
    <t>• Wrote a draft document detailing identified actors, participants and a basis for the sequence diagram
• Updated the SRS with current information data
• Added links and images to the SRS</t>
  </si>
  <si>
    <t>The draft of actors, participants and the sequence diagram basis was reviewed by the group and adopted as a base for the later documents. The SRS update was checked against the final Phase 2 designs. Outcome: accepted.</t>
  </si>
  <si>
    <t>Not Started</t>
  </si>
  <si>
    <t>Phase 2 Original Design Source Links / Files</t>
  </si>
  <si>
    <t>Design Artefact</t>
  </si>
  <si>
    <t>Tool Used</t>
  </si>
  <si>
    <t>Editable Link / File Name</t>
  </si>
  <si>
    <t>Accessible to Lecturer?</t>
  </si>
  <si>
    <t>Last Updated</t>
  </si>
  <si>
    <t>Responsible Student</t>
  </si>
  <si>
    <t>Included in SRS?</t>
  </si>
  <si>
    <t>Notes</t>
  </si>
  <si>
    <t>Lucid Chart</t>
  </si>
  <si>
    <t>Katlego Ramotete</t>
  </si>
  <si>
    <t>The Lucidchart link opens the architecture diagram directly. If prompted, sign in with a free Lucid account or use “Continue as guest” where available. A PNG/PDF export of the diagram is also stored in the project GitHub repository.</t>
  </si>
  <si>
    <t>Draw.io</t>
  </si>
  <si>
    <t>Kutlwano Semela, Sonop Khiba, Motheo Mothlakane, Motsoanyane Modisana</t>
  </si>
  <si>
    <t>The draw.io link is long because it contains the full diagram data, so no login or separate file is needed. Copy the entire link into a browser to open the diagram in the viewer.</t>
  </si>
  <si>
    <t>Motheo Mothlakane</t>
  </si>
  <si>
    <t>Motsoanyane Modisana</t>
  </si>
  <si>
    <t>Lesego Phahlane, Motheo Mothlakane</t>
  </si>
  <si>
    <t>Figma</t>
  </si>
  <si>
    <t>Lesego Phahlane, Motsoanyane Modisana</t>
  </si>
  <si>
    <t>Sonop Khiba, Michael Mchaisa</t>
  </si>
  <si>
    <t>The Figma link opens the ASP.NET web designs and needs no account to view. Select a page to inspect it, or click Present (play button, top right) to follow the navigation between pages.</t>
  </si>
  <si>
    <t>Navigation Flow</t>
  </si>
  <si>
    <t>(Linked to designs)</t>
  </si>
  <si>
    <t>No separate link is provided because the navigation flow is built into the Flutter and ASP.NET Figma prototypes. Open either design link and click Present to follow the flow between screens.</t>
  </si>
  <si>
    <t>Phase 2 Challenges and Corrective Actions</t>
  </si>
  <si>
    <t>Date Identified</t>
  </si>
  <si>
    <t>Challenge</t>
  </si>
  <si>
    <t>Effect on Progress / Design</t>
  </si>
  <si>
    <t>Corrective Action</t>
  </si>
  <si>
    <t>Target Date</t>
  </si>
  <si>
    <t>Resolved Date</t>
  </si>
  <si>
    <t>The team lacked a clear direction and shared plan for the project.</t>
  </si>
  <si>
    <t>Project progress stalled.</t>
  </si>
  <si>
    <t>The team held a meeting to assign roles and agree on a plan going forward.</t>
  </si>
  <si>
    <t xml:space="preserve">Karabo Makara, Katlego Ramotete, Kutlwano Semela, Lesego Phahlane, Michael Mchaisa, Motheo Mothlakane, Motsoanyane Modisana, Nomvela Gumede, Paballo Khunyeli, Sonop Khiba </t>
  </si>
  <si>
    <t>Roles were assigned and the Phase 2 task list was agreed.</t>
  </si>
  <si>
    <t>The guiding lecturer found that the Use Case Diagram was not viable.</t>
  </si>
  <si>
    <t>Design progress was halted until the use case was reworked.</t>
  </si>
  <si>
    <t>The team held a meeting to review the Use Case Diagram and agree on how to rework it.</t>
  </si>
  <si>
    <t>Kutlwano Semela, Motsoanyane Modisana, Paballo Khunyeli</t>
  </si>
  <si>
    <t xml:space="preserve"> </t>
  </si>
  <si>
    <t>Use Case Diagram reworked and later finalised as v3.</t>
  </si>
  <si>
    <t>The guiding lecturer again found that the revised Use Case Diagram was not viable.</t>
  </si>
  <si>
    <t>Kutlwano Semela, Motsoanyane Modisana, Paballo Khunyeli, Michael Mchaisa, Motheo Mothlakane</t>
  </si>
  <si>
    <t>Use Case Diagram reworked and later finalised as v5.</t>
  </si>
  <si>
    <t>Some members showed a lack of commitment and contribution.</t>
  </si>
  <si>
    <t>The team held a meeting to discuss expected conduct and each member’s contribution.</t>
  </si>
  <si>
    <t xml:space="preserve">Kutlwano Semela, Lesego Phahlane, Motsoanyane Modisana, Nomvela Gumede, Paballo Khunyeli </t>
  </si>
  <si>
    <t>Contribution expectations were agreed and are monitored by the team.</t>
  </si>
  <si>
    <t>After the Use Case Diagram was restructured, several existing documents became outdated.</t>
  </si>
  <si>
    <t>Documents previously considered complete had to be redone.</t>
  </si>
  <si>
    <t>The affected documents were revised to match the updated Use Case Diagram.</t>
  </si>
  <si>
    <t>Revised documents include the architecture diagram, sequence diagrams, ERD and SRS.</t>
  </si>
  <si>
    <t>15/09/2026 to 13/10/2026</t>
  </si>
  <si>
    <t>Phase 2 Completion Checklist</t>
  </si>
  <si>
    <t>Complete?</t>
  </si>
  <si>
    <t>Architecture complete</t>
  </si>
  <si>
    <t>What was completed during Phase 2?</t>
  </si>
  <si>
    <t>All Phase 2 design deliverables were completed: the system architecture diagram (Flutter, ASP.NET and shared Supabase backend), the Use Case Diagram, two sequence diagrams (one Flutter, one ASP.NET), the ERD, and the Flutter and ASP.NET interface designs. The design alignment check, updated SRS, Microsoft Project schedule and GitHub repository were also completed, and the Phase 2 presentation was prepared.</t>
  </si>
  <si>
    <t>Use Case Diagram complete</t>
  </si>
  <si>
    <t>What remains incomplete?</t>
  </si>
  <si>
    <t>No Phase 2 deliverables remain incomplete.</t>
  </si>
  <si>
    <t>Two Sequence Diagrams complete</t>
  </si>
  <si>
    <t>Why is it incomplete?</t>
  </si>
  <si>
    <t>ERD complete</t>
  </si>
  <si>
    <t>Which contributions were particularly important?</t>
  </si>
  <si>
    <t>Revising the Use Case Diagram after the lecturer’s feedback was the most important contribution, because the architecture, sequence diagrams, ERD, interfaces and SRS all had to be aligned to it. The design alignment check and the SRS update were also key in bringing the documents together into one consistent submission.</t>
  </si>
  <si>
    <t>Flutter interfaces complete</t>
  </si>
  <si>
    <t>Were there participation concerns?</t>
  </si>
  <si>
    <t>Yes. Early in the phase, uneven contribution slowed progress. This was addressed in a team meeting on 01/10/2026 where expected conduct and contributions were agreed. Contribution improved afterwards, and all tasks were completed.</t>
  </si>
  <si>
    <t>ASP.NET interfaces complete</t>
  </si>
  <si>
    <t>What will the group improve in Phase 3?</t>
  </si>
  <si>
    <t>Plan earlier and set interim deadlines instead of leaving work to the final days. Confirm key design decisions with the lecturer before building on them, so documents are not redone. Track each member’s contribution weekly, and keep documents updated as changes are made.</t>
  </si>
  <si>
    <t>Editable source links/files recorded</t>
  </si>
  <si>
    <t>Main priority for Phase 3</t>
  </si>
  <si>
    <t>Begin development of the ASP.NET website and Flutter app against the shared Supabase backend, using the approved Phase 2 designs as the baseline.</t>
  </si>
  <si>
    <t>SRS updated</t>
  </si>
  <si>
    <t>Microsoft Project updated</t>
  </si>
  <si>
    <t>GitHub current</t>
  </si>
  <si>
    <t>Individual contributions recorded</t>
  </si>
  <si>
    <t>Challenges/actions updated</t>
  </si>
  <si>
    <t>Group reflection completed</t>
  </si>
  <si>
    <t>Phase 2 Group Reflection</t>
  </si>
  <si>
    <t>1. What did the group complete successfully during Phase 2?</t>
  </si>
  <si>
    <t>The group completed all planned Phase 2 deliverables: the system architecture diagram showing the Flutter app and ASP.NET website sharing one Supabase backend, the Use Case Diagram, two sequence diagrams (one Flutter, one ASP.NET), the ERD, and the Flutter and ASP.NET interface designs. We also completed the design alignment check, updated the SRS and Microsoft Project schedule, organised the GitHub repository and prepared the Phase 2 presentation. All tasks were finished by 13/10/2026.</t>
  </si>
  <si>
    <t>2. Which architecture or design activities were the most challenging?</t>
  </si>
  <si>
    <t>The Use Case Diagram was the most challenging. The guiding lecturer found the first versions not viable, so the group had to rework the actors, use cases and include/extend relationships. The quotation and deposit process also had to be added to the architecture and the diagram. Because other documents depended on the use cases, the rework meant several documents had to be revised. Keeping the diagrams consistent with each other was also difficult.</t>
  </si>
  <si>
    <t>3. How did the group ensure that Flutter, ASP.NET and Supabase were designed as one integrated system?</t>
  </si>
  <si>
    <t>The group designed the architecture first, showing both applications connecting to the same Supabase backend. The ERD was then based on that shared database, so the website and the mobile app use the same data structures. The sequence diagrams were compared against the Use Case Diagram, and the Flutter and ASP.NET wireframes were reviewed against each other. A final design alignment check linked each requirement across the UML diagrams, the ERD and the interface designs.</t>
  </si>
  <si>
    <t>4. How was work divided among group members, and was participation balanced?</t>
  </si>
  <si>
    <t>Work was divided by activity, with each member assigned to specific diagrams, interface designs or project records, and some tasks shared between members. Participation was not balanced early in the phase, and the differences in contribution slowed progress. After the team meeting on 01/10/2026, expectations for contribution were agreed, and participation improved. Contributions are recorded individually in the contribution sheet.</t>
  </si>
  <si>
    <t>5. What did the group learn from developing the UML, ERD and interface designs?</t>
  </si>
  <si>
    <t>The group learned that the use case model drives all the other designs, so errors there carry into the rest of the documents. We learned to apply include and extend relationships correctly and to keep the sequence diagrams, ERD and screens consistent with the use cases. We also saw that reviewing designs early and getting lecturer feedback is cheaper than redoing completed work. Finally, we learned to keep one shared design for two applications that use the same backend.</t>
  </si>
  <si>
    <t>6. What will the group do differently during development in Phase 3?</t>
  </si>
  <si>
    <t>The group will set interim deadlines and track progress weekly rather than leaving work to the last days. Key decisions will be confirmed with the guiding lecturer before development builds on them. Each member’s contribution will be recorded as the work happens, not afterwards. The approved Phase 2 designs will be the baseline, and any change to them will be made in the documents at the same time as the code, so the SRS, diagrams and ERD stay 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</si>
</sst>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5"/>
      <color rgb="FFFFFFFF"/>
      <name val="Carlito"/>
    </font>
    <font>
      <b/>
      <sz val="11"/>
      <color rgb="FFFFFFFF"/>
      <name val="Carlito"/>
    </font>
    <font>
      <b/>
      <sz val="11"/>
      <name val="Carlito"/>
    </font>
    <font>
      <u/>
      <sz val="11"/>
      <color theme="10"/>
      <name val="Carlito"/>
    </font>
    <font>
      <sz val="11"/>
      <color rgb="FF000000"/>
      <name val="Carlito"/>
    </font>
  </fonts>
  <fills count="7">
    <fill>
      <patternFill patternType="none"/>
    </fill>
    <fill>
      <patternFill patternType="gray125"/>
    </fill>
    <fill>
      <patternFill patternType="solid">
        <fgColor rgb="FF17365D"/>
      </patternFill>
    </fill>
    <fill>
      <patternFill patternType="solid">
        <fgColor rgb="FFF3F6FA"/>
      </patternFill>
    </fill>
    <fill>
      <patternFill patternType="solid">
        <fgColor rgb="FFD9EAF7"/>
      </patternFill>
    </fill>
    <fill>
      <patternFill patternType="solid">
        <fgColor rgb="FFFFF2CC"/>
      </patternFill>
    </fill>
    <fill>
      <patternFill patternType="solid">
        <fgColor rgb="FFE2F0D9"/>
      </patternFill>
    </fill>
  </fills>
  <borders count="2">
    <border>
      <left/>
      <right/>
      <top/>
      <bottom/>
      <diagonal/>
    </border>
    <border>
      <left/>
      <right/>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wrapText="1"/>
    </xf>
    <xf numFmtId="0" fontId="3" fillId="4" borderId="1" xfId="0" applyFont="1" applyFill="1" applyBorder="1"/>
    <xf numFmtId="0" fontId="3" fillId="6" borderId="1" xfId="0" applyFont="1" applyFill="1" applyBorder="1" applyAlignment="1">
      <alignment horizontal="center"/>
    </xf>
    <xf numFmtId="9" fontId="3" fillId="6" borderId="1" xfId="0" applyNumberFormat="1" applyFont="1" applyFill="1" applyBorder="1" applyAlignment="1">
      <alignment horizontal="center"/>
    </xf>
    <xf numFmtId="9" fontId="0" fillId="5" borderId="1" xfId="0" applyNumberFormat="1" applyFill="1" applyBorder="1" applyAlignment="1">
      <alignment vertical="top" wrapText="1"/>
    </xf>
    <xf numFmtId="0" fontId="4" fillId="5" borderId="1" xfId="1" applyNumberFormat="1" applyFill="1" applyBorder="1" applyAlignment="1">
      <alignment vertical="top" wrapText="1"/>
    </xf>
    <xf numFmtId="14" fontId="0" fillId="5" borderId="1" xfId="0" applyNumberFormat="1" applyFill="1" applyBorder="1" applyAlignment="1">
      <alignment vertical="top" wrapText="1"/>
    </xf>
    <xf numFmtId="21" fontId="0" fillId="5" borderId="1" xfId="0" applyNumberFormat="1" applyFill="1" applyBorder="1" applyAlignment="1">
      <alignment vertical="top" wrapText="1"/>
    </xf>
    <xf numFmtId="46" fontId="0" fillId="5" borderId="1" xfId="0" applyNumberFormat="1" applyFill="1" applyBorder="1" applyAlignment="1">
      <alignment vertical="top" wrapText="1"/>
    </xf>
    <xf numFmtId="0" fontId="5" fillId="5" borderId="1" xfId="0" applyFont="1" applyFill="1" applyBorder="1" applyAlignment="1">
      <alignment vertical="top" wrapText="1"/>
    </xf>
    <xf numFmtId="0" fontId="4" fillId="0" borderId="0" xfId="1"/>
    <xf numFmtId="0" fontId="0" fillId="5" borderId="1" xfId="0" applyFill="1" applyBorder="1" applyAlignment="1">
      <alignment vertical="top" wrapText="1"/>
    </xf>
    <xf numFmtId="0" fontId="3" fillId="4" borderId="1" xfId="0" applyFont="1" applyFill="1" applyBorder="1" applyAlignment="1">
      <alignment wrapText="1"/>
    </xf>
    <xf numFmtId="0" fontId="3" fillId="4" borderId="1" xfId="0" applyFont="1" applyFill="1" applyBorder="1" applyAlignment="1">
      <alignment vertical="top" wrapText="1"/>
    </xf>
    <xf numFmtId="0" fontId="4" fillId="5" borderId="1" xfId="1" applyFill="1" applyBorder="1" applyAlignment="1">
      <alignment vertical="top" wrapText="1"/>
    </xf>
    <xf numFmtId="0" fontId="1" fillId="2" borderId="1" xfId="0" applyFont="1" applyFill="1" applyBorder="1" applyAlignment="1">
      <alignment horizontal="center" vertical="center"/>
    </xf>
    <xf numFmtId="0" fontId="0" fillId="3" borderId="1" xfId="0" applyFill="1" applyBorder="1" applyAlignment="1">
      <alignment wrapText="1"/>
    </xf>
    <xf numFmtId="0" fontId="0" fillId="3" borderId="1" xfId="0" applyFill="1" applyBorder="1" applyAlignment="1">
      <alignment vertical="top" wrapText="1"/>
    </xf>
    <xf numFmtId="0" fontId="2" fillId="2" borderId="1" xfId="0" applyFont="1" applyFill="1" applyBorder="1" applyAlignment="1">
      <alignment horizontal="center"/>
    </xf>
    <xf numFmtId="0" fontId="0" fillId="5" borderId="1" xfId="0" applyFill="1" applyBorder="1" applyAlignment="1">
      <alignment vertical="top" wrapText="1"/>
    </xf>
    <xf numFmtId="0" fontId="3" fillId="4" borderId="1" xfId="0" applyFont="1" applyFill="1" applyBorder="1" applyAlignment="1">
      <alignment wrapText="1"/>
    </xf>
    <xf numFmtId="0" fontId="3" fillId="5" borderId="1" xfId="0" applyFont="1" applyFill="1" applyBorder="1" applyAlignment="1">
      <alignment vertical="top" wrapText="1"/>
    </xf>
    <xf numFmtId="0" fontId="3" fillId="4" borderId="1" xfId="0" applyFont="1" applyFill="1" applyBorder="1" applyAlignment="1">
      <alignment vertical="top" wrapText="1"/>
    </xf>
    <xf numFmtId="0" fontId="2" fillId="2" borderId="1" xfId="0" applyFont="1" applyFill="1" applyBorder="1" applyAlignment="1"/>
  </cellXfs>
  <cellStyles count="2">
    <cellStyle name="Hyperlink" xfId="1" builtinId="8"/>
    <cellStyle name="Normal" xfId="0" builtinId="0"/>
  </cellStyles>
  <dxfs count="5">
    <dxf>
      <fill>
        <patternFill patternType="solid">
          <bgColor rgb="FFF4CCCC"/>
        </patternFill>
      </fill>
    </dxf>
    <dxf>
      <fill>
        <patternFill patternType="solid">
          <bgColor rgb="FFE2F0D9"/>
        </patternFill>
      </fill>
    </dxf>
    <dxf>
      <fill>
        <patternFill patternType="solid">
          <bgColor rgb="FFE2F0D9"/>
        </patternFill>
      </fill>
    </dxf>
    <dxf>
      <fill>
        <patternFill patternType="solid">
          <bgColor rgb="FFF4CC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Michael-23-bloem/ITC327W"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figma.com/design/fmW3wiEdqsj3hX41NPr0vC/Untitled?node-id=12-7434&amp;t=AwiDq43pfrR0g2t0-1" TargetMode="External"/><Relationship Id="rId7" Type="http://schemas.openxmlformats.org/officeDocument/2006/relationships/hyperlink" Target="AkeaEvents_SRS_Phase%202.docx" TargetMode="External"/><Relationship Id="rId2" Type="http://schemas.openxmlformats.org/officeDocument/2006/relationships/hyperlink" Target="https://www.figma.com/design/jVTwOe6OxguXIdolAzv0w7/Untitled?node-id=0-1&amp;p=f&amp;t=DSvcmii7em04aACb-0" TargetMode="External"/><Relationship Id="rId1" Type="http://schemas.openxmlformats.org/officeDocument/2006/relationships/hyperlink" Target="https://lucid.app/lucidchart/44240553-e1a3-49a9-8e37-b2206e969dba/edit?invitationId=inv_c65493ad-0815-4808-a067-4fa283bc9b11" TargetMode="External"/><Relationship Id="rId6" Type="http://schemas.openxmlformats.org/officeDocument/2006/relationships/hyperlink" Target="Project%20Schedule%202.mpp" TargetMode="External"/><Relationship Id="rId5" Type="http://schemas.openxmlformats.org/officeDocument/2006/relationships/hyperlink" Target="https://cutfs-my.sharepoint.com/:x:/g/personal/223073835_stud_cut_ac_za/IQCqodYuJVnORbQVZzGjzpBrAa5Pf2xOYsxKlquG4Q04M7s?e=AaHIG2" TargetMode="External"/><Relationship Id="rId4" Type="http://schemas.openxmlformats.org/officeDocument/2006/relationships/hyperlink" Target="https://github.com/Michael-23-bloem/ITC327W"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github.com/Michael-23-bloem/ITC327W" TargetMode="External"/><Relationship Id="rId1" Type="http://schemas.openxmlformats.org/officeDocument/2006/relationships/hyperlink" Target="https://github.com/Michael-23-bloem/ITC327W"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figma.com/design/fmW3wiEdqsj3hX41NPr0vC/Untitled?node-id=12-7434&amp;t=AwiDq43pfrR0g2t0-1" TargetMode="External"/><Relationship Id="rId2" Type="http://schemas.openxmlformats.org/officeDocument/2006/relationships/hyperlink" Target="https://www.figma.com/design/jVTwOe6OxguXIdolAzv0w7/Untitled?node-id=0-1&amp;p=f&amp;t=DSvcmii7em04aACb-0" TargetMode="External"/><Relationship Id="rId1" Type="http://schemas.openxmlformats.org/officeDocument/2006/relationships/hyperlink" Target="https://lucid.app/lucidchart/44240553-e1a3-49a9-8e37-b2206e969dba/edit?invitationId=inv_c65493ad-0815-4808-a067-4fa283bc9b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zoomScaleNormal="100" zoomScaleSheetLayoutView="100" workbookViewId="0">
      <selection activeCell="E9" sqref="E9"/>
    </sheetView>
  </sheetViews>
  <sheetFormatPr defaultColWidth="8.875" defaultRowHeight="14.1"/>
  <cols>
    <col min="1" max="1" width="25" customWidth="1"/>
    <col min="2" max="2" width="38" customWidth="1"/>
    <col min="3" max="3" width="52" customWidth="1"/>
    <col min="4" max="6" width="14" customWidth="1"/>
  </cols>
  <sheetData>
    <row r="1" spans="1:6" ht="33.950000000000003" customHeight="1">
      <c r="A1" s="17" t="s">
        <v>0</v>
      </c>
      <c r="B1" s="17"/>
      <c r="C1" s="17"/>
      <c r="D1" s="17"/>
      <c r="E1" s="17"/>
      <c r="F1" s="17"/>
    </row>
    <row r="2" spans="1:6" ht="33.950000000000003" customHeight="1">
      <c r="A2" s="18" t="s">
        <v>1</v>
      </c>
      <c r="B2" s="18"/>
      <c r="C2" s="18"/>
      <c r="D2" s="18"/>
      <c r="E2" s="18"/>
      <c r="F2" s="18"/>
    </row>
    <row r="4" spans="1:6" ht="30" customHeight="1">
      <c r="A4" s="1" t="s">
        <v>2</v>
      </c>
      <c r="B4" s="1" t="s">
        <v>3</v>
      </c>
      <c r="C4" s="1" t="s">
        <v>4</v>
      </c>
    </row>
    <row r="5" spans="1:6" ht="39.950000000000003" customHeight="1">
      <c r="A5" s="2" t="s">
        <v>5</v>
      </c>
      <c r="B5" s="2" t="s">
        <v>6</v>
      </c>
      <c r="C5" s="2" t="s">
        <v>7</v>
      </c>
    </row>
    <row r="6" spans="1:6" ht="39.950000000000003" customHeight="1">
      <c r="A6" s="2" t="s">
        <v>8</v>
      </c>
      <c r="B6" s="2" t="s">
        <v>9</v>
      </c>
      <c r="C6" s="2" t="s">
        <v>10</v>
      </c>
    </row>
    <row r="7" spans="1:6" ht="39.950000000000003" customHeight="1">
      <c r="A7" s="2" t="s">
        <v>11</v>
      </c>
      <c r="B7" s="2" t="s">
        <v>12</v>
      </c>
      <c r="C7" s="2" t="s">
        <v>13</v>
      </c>
    </row>
    <row r="8" spans="1:6" ht="39.950000000000003" customHeight="1">
      <c r="A8" s="2" t="s">
        <v>14</v>
      </c>
      <c r="B8" s="2" t="s">
        <v>15</v>
      </c>
      <c r="C8" s="2" t="s">
        <v>16</v>
      </c>
    </row>
    <row r="9" spans="1:6" ht="39.950000000000003" customHeight="1">
      <c r="A9" s="2" t="s">
        <v>17</v>
      </c>
      <c r="B9" s="2" t="s">
        <v>18</v>
      </c>
      <c r="C9" s="2" t="s">
        <v>19</v>
      </c>
    </row>
    <row r="10" spans="1:6" ht="39.950000000000003" customHeight="1">
      <c r="A10" s="2" t="s">
        <v>20</v>
      </c>
      <c r="B10" s="2" t="s">
        <v>21</v>
      </c>
      <c r="C10" s="2" t="s">
        <v>22</v>
      </c>
    </row>
    <row r="11" spans="1:6" ht="39.950000000000003" customHeight="1">
      <c r="A11" s="2" t="s">
        <v>23</v>
      </c>
      <c r="B11" s="2" t="s">
        <v>24</v>
      </c>
      <c r="C11" s="2" t="s">
        <v>25</v>
      </c>
    </row>
    <row r="13" spans="1:6">
      <c r="A13" s="25" t="s">
        <v>26</v>
      </c>
      <c r="B13" s="25"/>
      <c r="C13" s="25"/>
      <c r="D13" s="25"/>
      <c r="E13" s="25"/>
      <c r="F13" s="25"/>
    </row>
    <row r="14" spans="1:6">
      <c r="A14" s="19" t="s">
        <v>27</v>
      </c>
      <c r="B14" s="19"/>
      <c r="C14" s="19"/>
      <c r="D14" s="19"/>
      <c r="E14" s="19"/>
      <c r="F14" s="19"/>
    </row>
    <row r="15" spans="1:6">
      <c r="A15" s="19"/>
      <c r="B15" s="19"/>
      <c r="C15" s="19"/>
      <c r="D15" s="19"/>
      <c r="E15" s="19"/>
      <c r="F15" s="19"/>
    </row>
    <row r="16" spans="1:6">
      <c r="A16" s="19"/>
      <c r="B16" s="19"/>
      <c r="C16" s="19"/>
      <c r="D16" s="19"/>
      <c r="E16" s="19"/>
      <c r="F16" s="19"/>
    </row>
    <row r="17" spans="1:6">
      <c r="A17" s="19"/>
      <c r="B17" s="19"/>
      <c r="C17" s="19"/>
      <c r="D17" s="19"/>
      <c r="E17" s="19"/>
      <c r="F17" s="19"/>
    </row>
    <row r="18" spans="1:6">
      <c r="A18" s="19"/>
      <c r="B18" s="19"/>
      <c r="C18" s="19"/>
      <c r="D18" s="19"/>
      <c r="E18" s="19"/>
      <c r="F18" s="19"/>
    </row>
  </sheetData>
  <mergeCells count="4">
    <mergeCell ref="A1:F1"/>
    <mergeCell ref="A2:F2"/>
    <mergeCell ref="A13:F13"/>
    <mergeCell ref="A14: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zoomScaleNormal="100" zoomScaleSheetLayoutView="100" workbookViewId="0">
      <selection activeCell="B8" sqref="B8"/>
    </sheetView>
  </sheetViews>
  <sheetFormatPr defaultColWidth="8.875" defaultRowHeight="14.1"/>
  <cols>
    <col min="1" max="1" width="27" customWidth="1"/>
    <col min="2" max="2" width="38" customWidth="1"/>
    <col min="3" max="3" width="4" customWidth="1"/>
    <col min="4" max="4" width="25" customWidth="1"/>
    <col min="5" max="5" width="18" customWidth="1"/>
    <col min="6" max="8" width="16" customWidth="1"/>
  </cols>
  <sheetData>
    <row r="1" spans="1:8" ht="33.950000000000003" customHeight="1">
      <c r="A1" s="17" t="s">
        <v>28</v>
      </c>
      <c r="B1" s="17"/>
      <c r="C1" s="17"/>
      <c r="D1" s="17"/>
      <c r="E1" s="17"/>
      <c r="F1" s="17"/>
      <c r="G1" s="17"/>
      <c r="H1" s="17"/>
    </row>
    <row r="3" spans="1:8">
      <c r="A3" s="14" t="s">
        <v>29</v>
      </c>
      <c r="B3" s="13" t="s">
        <v>30</v>
      </c>
      <c r="D3" s="20" t="s">
        <v>31</v>
      </c>
      <c r="E3" s="20"/>
      <c r="F3" s="20"/>
      <c r="G3" s="20"/>
      <c r="H3" s="20"/>
    </row>
    <row r="4" spans="1:8" ht="27.95">
      <c r="A4" s="14" t="s">
        <v>32</v>
      </c>
      <c r="B4" s="13" t="s">
        <v>33</v>
      </c>
      <c r="D4" s="3" t="s">
        <v>34</v>
      </c>
      <c r="E4" s="4">
        <f>COUNTA('Design Progress'!A4:A33)</f>
        <v>12</v>
      </c>
    </row>
    <row r="5" spans="1:8">
      <c r="A5" s="14" t="s">
        <v>35</v>
      </c>
      <c r="B5" s="13" t="s">
        <v>36</v>
      </c>
      <c r="D5" s="3" t="s">
        <v>37</v>
      </c>
      <c r="E5" s="4">
        <f>COUNTIF('Design Progress'!G4:G33,"Completed")</f>
        <v>12</v>
      </c>
    </row>
    <row r="6" spans="1:8">
      <c r="A6" s="14" t="s">
        <v>38</v>
      </c>
      <c r="B6" s="13" t="s">
        <v>39</v>
      </c>
      <c r="D6" s="3" t="s">
        <v>40</v>
      </c>
      <c r="E6" s="4">
        <f>COUNTIF('Design Progress'!G4:G33,"In Progress")</f>
        <v>0</v>
      </c>
    </row>
    <row r="7" spans="1:8">
      <c r="A7" s="14" t="s">
        <v>41</v>
      </c>
      <c r="B7" s="13">
        <v>10</v>
      </c>
      <c r="D7" s="3" t="s">
        <v>42</v>
      </c>
      <c r="E7" s="4">
        <f>COUNTIF('Design Progress'!G4:G33,"Blocked")</f>
        <v>0</v>
      </c>
    </row>
    <row r="8" spans="1:8" ht="27.95">
      <c r="A8" s="14" t="s">
        <v>43</v>
      </c>
      <c r="B8" s="7" t="s">
        <v>44</v>
      </c>
      <c r="D8" s="3" t="s">
        <v>45</v>
      </c>
      <c r="E8" s="5">
        <f>IFERROR(AVERAGE('Design Progress'!H4:H33),0)</f>
        <v>1</v>
      </c>
    </row>
    <row r="9" spans="1:8">
      <c r="A9" s="14" t="s">
        <v>46</v>
      </c>
      <c r="B9" s="8">
        <v>46308</v>
      </c>
    </row>
    <row r="10" spans="1:8">
      <c r="A10" s="14" t="s">
        <v>47</v>
      </c>
      <c r="B10" s="13" t="s">
        <v>40</v>
      </c>
      <c r="D10" s="25" t="s">
        <v>48</v>
      </c>
      <c r="E10" s="25"/>
      <c r="F10" s="25"/>
      <c r="G10" s="25"/>
      <c r="H10" s="25"/>
    </row>
    <row r="11" spans="1:8">
      <c r="D11" s="19" t="s">
        <v>49</v>
      </c>
      <c r="E11" s="19"/>
      <c r="F11" s="19"/>
      <c r="G11" s="19"/>
      <c r="H11" s="19"/>
    </row>
    <row r="12" spans="1:8">
      <c r="D12" s="19"/>
      <c r="E12" s="19"/>
      <c r="F12" s="19"/>
      <c r="G12" s="19"/>
      <c r="H12" s="19"/>
    </row>
    <row r="13" spans="1:8">
      <c r="D13" s="19"/>
      <c r="E13" s="19"/>
      <c r="F13" s="19"/>
      <c r="G13" s="19"/>
      <c r="H13" s="19"/>
    </row>
    <row r="14" spans="1:8">
      <c r="D14" s="19"/>
      <c r="E14" s="19"/>
      <c r="F14" s="19"/>
      <c r="G14" s="19"/>
      <c r="H14" s="19"/>
    </row>
    <row r="15" spans="1:8">
      <c r="D15" s="19"/>
      <c r="E15" s="19"/>
      <c r="F15" s="19"/>
      <c r="G15" s="19"/>
      <c r="H15" s="19"/>
    </row>
  </sheetData>
  <mergeCells count="4">
    <mergeCell ref="A1:H1"/>
    <mergeCell ref="D3:H3"/>
    <mergeCell ref="D10:H10"/>
    <mergeCell ref="D11:H15"/>
  </mergeCells>
  <dataValidations count="1">
    <dataValidation type="list" sqref="B10" xr:uid="{00000000-0002-0000-0100-000000000000}">
      <formula1>"Not Started,In Progress,Completed,Blocked"</formula1>
    </dataValidation>
  </dataValidations>
  <hyperlinks>
    <hyperlink ref="B8" r:id="rId1" xr:uid="{2E2C21E9-D7E6-4843-86E5-4C22DA9FE50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tabSelected="1" topLeftCell="F6" zoomScaleNormal="100" zoomScaleSheetLayoutView="100" workbookViewId="0">
      <selection activeCell="I7" sqref="I7"/>
    </sheetView>
  </sheetViews>
  <sheetFormatPr defaultColWidth="8.875" defaultRowHeight="14.1"/>
  <cols>
    <col min="1" max="1" width="11" customWidth="1"/>
    <col min="2" max="2" width="26" customWidth="1"/>
    <col min="3" max="3" width="44" customWidth="1"/>
    <col min="4" max="4" width="25" customWidth="1"/>
    <col min="5" max="7" width="15" customWidth="1"/>
    <col min="8" max="8" width="12" customWidth="1"/>
    <col min="9" max="10" width="34" customWidth="1"/>
  </cols>
  <sheetData>
    <row r="1" spans="1:10" ht="33.950000000000003" customHeight="1">
      <c r="A1" s="17" t="s">
        <v>50</v>
      </c>
      <c r="B1" s="17"/>
      <c r="C1" s="17"/>
      <c r="D1" s="17"/>
      <c r="E1" s="17"/>
      <c r="F1" s="17"/>
      <c r="G1" s="17"/>
      <c r="H1" s="17"/>
      <c r="I1" s="17"/>
      <c r="J1" s="17"/>
    </row>
    <row r="3" spans="1:10" ht="30" customHeight="1">
      <c r="A3" s="1" t="s">
        <v>51</v>
      </c>
      <c r="B3" s="1" t="s">
        <v>52</v>
      </c>
      <c r="C3" s="1" t="s">
        <v>53</v>
      </c>
      <c r="D3" s="1" t="s">
        <v>54</v>
      </c>
      <c r="E3" s="1" t="s">
        <v>55</v>
      </c>
      <c r="F3" s="1" t="s">
        <v>56</v>
      </c>
      <c r="G3" s="1" t="s">
        <v>57</v>
      </c>
      <c r="H3" s="1" t="s">
        <v>58</v>
      </c>
      <c r="I3" s="1" t="s">
        <v>59</v>
      </c>
      <c r="J3" s="1" t="s">
        <v>60</v>
      </c>
    </row>
    <row r="4" spans="1:10" ht="69.95">
      <c r="A4" s="2" t="s">
        <v>61</v>
      </c>
      <c r="B4" s="2" t="s">
        <v>62</v>
      </c>
      <c r="C4" s="2" t="s">
        <v>63</v>
      </c>
      <c r="D4" s="13" t="s">
        <v>64</v>
      </c>
      <c r="E4" s="13" t="s">
        <v>65</v>
      </c>
      <c r="F4" s="8">
        <v>46366</v>
      </c>
      <c r="G4" s="13" t="s">
        <v>37</v>
      </c>
      <c r="H4" s="6">
        <v>1</v>
      </c>
      <c r="I4" s="7" t="s">
        <v>66</v>
      </c>
      <c r="J4" s="13" t="s">
        <v>67</v>
      </c>
    </row>
    <row r="5" spans="1:10" ht="124.5" customHeight="1">
      <c r="A5" s="2" t="s">
        <v>68</v>
      </c>
      <c r="B5" s="2" t="s">
        <v>69</v>
      </c>
      <c r="C5" s="2" t="s">
        <v>70</v>
      </c>
      <c r="D5" s="13" t="s">
        <v>71</v>
      </c>
      <c r="E5" s="13" t="s">
        <v>72</v>
      </c>
      <c r="F5" s="13" t="s">
        <v>73</v>
      </c>
      <c r="G5" s="13" t="s">
        <v>37</v>
      </c>
      <c r="H5" s="6">
        <v>1</v>
      </c>
      <c r="I5" s="13" t="s">
        <v>74</v>
      </c>
      <c r="J5" s="13" t="s">
        <v>75</v>
      </c>
    </row>
    <row r="6" spans="1:10" ht="105.75" customHeight="1">
      <c r="A6" s="2" t="s">
        <v>76</v>
      </c>
      <c r="B6" s="2" t="s">
        <v>77</v>
      </c>
      <c r="C6" s="2" t="s">
        <v>78</v>
      </c>
      <c r="D6" s="13" t="s">
        <v>79</v>
      </c>
      <c r="E6" s="13" t="s">
        <v>80</v>
      </c>
      <c r="F6" s="13" t="s">
        <v>73</v>
      </c>
      <c r="G6" s="13" t="s">
        <v>37</v>
      </c>
      <c r="H6" s="6">
        <v>1</v>
      </c>
      <c r="I6" s="13" t="s">
        <v>81</v>
      </c>
      <c r="J6" s="13" t="s">
        <v>82</v>
      </c>
    </row>
    <row r="7" spans="1:10" ht="168" customHeight="1">
      <c r="A7" s="2" t="s">
        <v>83</v>
      </c>
      <c r="B7" s="2" t="s">
        <v>84</v>
      </c>
      <c r="C7" s="2" t="s">
        <v>85</v>
      </c>
      <c r="D7" s="13" t="s">
        <v>86</v>
      </c>
      <c r="E7" s="13" t="s">
        <v>80</v>
      </c>
      <c r="F7" s="13" t="s">
        <v>73</v>
      </c>
      <c r="G7" s="13" t="s">
        <v>37</v>
      </c>
      <c r="H7" s="6">
        <v>1</v>
      </c>
      <c r="I7" s="13" t="s">
        <v>87</v>
      </c>
      <c r="J7" s="13" t="s">
        <v>88</v>
      </c>
    </row>
    <row r="8" spans="1:10" ht="165" customHeight="1">
      <c r="A8" s="2" t="s">
        <v>89</v>
      </c>
      <c r="B8" s="2" t="s">
        <v>90</v>
      </c>
      <c r="C8" s="2" t="s">
        <v>91</v>
      </c>
      <c r="D8" s="13" t="s">
        <v>92</v>
      </c>
      <c r="E8" s="13" t="s">
        <v>93</v>
      </c>
      <c r="F8" s="13" t="s">
        <v>73</v>
      </c>
      <c r="G8" s="13" t="s">
        <v>37</v>
      </c>
      <c r="H8" s="6">
        <v>1</v>
      </c>
      <c r="I8" s="13" t="s">
        <v>94</v>
      </c>
      <c r="J8" s="13" t="s">
        <v>95</v>
      </c>
    </row>
    <row r="9" spans="1:10" ht="84">
      <c r="A9" s="2" t="s">
        <v>96</v>
      </c>
      <c r="B9" s="2" t="s">
        <v>97</v>
      </c>
      <c r="C9" s="2" t="s">
        <v>98</v>
      </c>
      <c r="D9" s="13" t="s">
        <v>99</v>
      </c>
      <c r="E9" s="8">
        <v>46183</v>
      </c>
      <c r="F9" s="13" t="s">
        <v>73</v>
      </c>
      <c r="G9" s="13" t="s">
        <v>37</v>
      </c>
      <c r="H9" s="6">
        <v>1</v>
      </c>
      <c r="I9" s="7" t="s">
        <v>100</v>
      </c>
      <c r="J9" s="13" t="s">
        <v>95</v>
      </c>
    </row>
    <row r="10" spans="1:10" ht="84">
      <c r="A10" s="2" t="s">
        <v>101</v>
      </c>
      <c r="B10" s="2" t="s">
        <v>102</v>
      </c>
      <c r="C10" s="2" t="s">
        <v>103</v>
      </c>
      <c r="D10" s="13" t="s">
        <v>104</v>
      </c>
      <c r="E10" s="8">
        <v>46183</v>
      </c>
      <c r="F10" s="13" t="s">
        <v>73</v>
      </c>
      <c r="G10" s="13" t="s">
        <v>37</v>
      </c>
      <c r="H10" s="6">
        <v>1</v>
      </c>
      <c r="I10" s="7" t="s">
        <v>105</v>
      </c>
      <c r="J10" s="13" t="s">
        <v>95</v>
      </c>
    </row>
    <row r="11" spans="1:10" ht="69.95">
      <c r="A11" s="2" t="s">
        <v>106</v>
      </c>
      <c r="B11" s="2" t="s">
        <v>107</v>
      </c>
      <c r="C11" s="2" t="s">
        <v>108</v>
      </c>
      <c r="D11" s="13" t="s">
        <v>39</v>
      </c>
      <c r="E11" s="8">
        <v>46366</v>
      </c>
      <c r="F11" s="13" t="s">
        <v>73</v>
      </c>
      <c r="G11" s="13" t="s">
        <v>37</v>
      </c>
      <c r="H11" s="6">
        <v>1</v>
      </c>
      <c r="I11" s="12" t="s">
        <v>109</v>
      </c>
      <c r="J11" s="13" t="s">
        <v>110</v>
      </c>
    </row>
    <row r="12" spans="1:10" ht="56.1">
      <c r="A12" s="2" t="s">
        <v>111</v>
      </c>
      <c r="B12" s="2" t="s">
        <v>112</v>
      </c>
      <c r="C12" s="2" t="s">
        <v>113</v>
      </c>
      <c r="D12" s="13" t="s">
        <v>114</v>
      </c>
      <c r="E12" s="8">
        <v>46275</v>
      </c>
      <c r="F12" s="13" t="s">
        <v>73</v>
      </c>
      <c r="G12" s="13" t="s">
        <v>37</v>
      </c>
      <c r="H12" s="6">
        <v>1</v>
      </c>
      <c r="I12" s="16" t="s">
        <v>115</v>
      </c>
      <c r="J12" s="13" t="s">
        <v>116</v>
      </c>
    </row>
    <row r="13" spans="1:10" ht="56.1">
      <c r="A13" s="2" t="s">
        <v>117</v>
      </c>
      <c r="B13" s="2" t="s">
        <v>118</v>
      </c>
      <c r="C13" s="2" t="s">
        <v>119</v>
      </c>
      <c r="D13" s="13" t="s">
        <v>120</v>
      </c>
      <c r="E13" s="8">
        <v>46275</v>
      </c>
      <c r="F13" s="13" t="s">
        <v>73</v>
      </c>
      <c r="G13" s="13" t="s">
        <v>37</v>
      </c>
      <c r="H13" s="6">
        <v>1</v>
      </c>
      <c r="I13" s="16" t="s">
        <v>121</v>
      </c>
      <c r="J13" s="13" t="s">
        <v>116</v>
      </c>
    </row>
    <row r="14" spans="1:10" ht="56.1">
      <c r="A14" s="2" t="s">
        <v>122</v>
      </c>
      <c r="B14" s="2" t="s">
        <v>123</v>
      </c>
      <c r="C14" s="2" t="s">
        <v>124</v>
      </c>
      <c r="D14" s="13" t="s">
        <v>125</v>
      </c>
      <c r="E14" s="8">
        <v>46275</v>
      </c>
      <c r="F14" s="13" t="s">
        <v>73</v>
      </c>
      <c r="G14" s="13" t="s">
        <v>37</v>
      </c>
      <c r="H14" s="6">
        <v>1</v>
      </c>
      <c r="I14" s="7" t="s">
        <v>44</v>
      </c>
      <c r="J14" s="13" t="s">
        <v>126</v>
      </c>
    </row>
    <row r="15" spans="1:10" ht="140.1">
      <c r="A15" s="2" t="s">
        <v>127</v>
      </c>
      <c r="B15" s="2" t="s">
        <v>128</v>
      </c>
      <c r="C15" s="2" t="s">
        <v>129</v>
      </c>
      <c r="D15" s="13" t="s">
        <v>130</v>
      </c>
      <c r="E15" s="13" t="s">
        <v>131</v>
      </c>
      <c r="F15" s="13" t="s">
        <v>73</v>
      </c>
      <c r="G15" s="13" t="s">
        <v>37</v>
      </c>
      <c r="H15" s="6">
        <v>1</v>
      </c>
      <c r="I15" s="13" t="s">
        <v>132</v>
      </c>
      <c r="J15" s="13" t="s">
        <v>133</v>
      </c>
    </row>
    <row r="16" spans="1:10">
      <c r="A16" s="2"/>
      <c r="B16" s="2"/>
      <c r="C16" s="2"/>
      <c r="D16" s="13"/>
      <c r="E16" s="13"/>
      <c r="F16" s="13"/>
      <c r="G16" s="13"/>
      <c r="H16" s="6"/>
      <c r="I16" s="13"/>
      <c r="J16" s="13"/>
    </row>
    <row r="17" spans="1:10">
      <c r="A17" s="2"/>
      <c r="B17" s="2"/>
      <c r="C17" s="2"/>
      <c r="D17" s="13"/>
      <c r="E17" s="13"/>
      <c r="F17" s="13"/>
      <c r="G17" s="13"/>
      <c r="H17" s="6"/>
      <c r="I17" s="13"/>
      <c r="J17" s="13"/>
    </row>
    <row r="18" spans="1:10">
      <c r="A18" s="2"/>
      <c r="B18" s="2"/>
      <c r="C18" s="2"/>
      <c r="D18" s="13"/>
      <c r="E18" s="13"/>
      <c r="F18" s="13"/>
      <c r="G18" s="13"/>
      <c r="H18" s="6"/>
      <c r="I18" s="13"/>
      <c r="J18" s="13"/>
    </row>
    <row r="19" spans="1:10">
      <c r="A19" s="2"/>
      <c r="B19" s="2"/>
      <c r="C19" s="2"/>
      <c r="D19" s="13"/>
      <c r="E19" s="13"/>
      <c r="F19" s="13"/>
      <c r="G19" s="13"/>
      <c r="H19" s="6"/>
      <c r="I19" s="13"/>
      <c r="J19" s="13"/>
    </row>
    <row r="20" spans="1:10">
      <c r="A20" s="2"/>
      <c r="B20" s="2"/>
      <c r="C20" s="2"/>
      <c r="D20" s="13"/>
      <c r="E20" s="13"/>
      <c r="F20" s="13"/>
      <c r="G20" s="13"/>
      <c r="H20" s="6"/>
      <c r="I20" s="13"/>
      <c r="J20" s="13"/>
    </row>
    <row r="21" spans="1:10">
      <c r="A21" s="2"/>
      <c r="B21" s="2"/>
      <c r="C21" s="2"/>
      <c r="D21" s="13"/>
      <c r="E21" s="13"/>
      <c r="F21" s="13"/>
      <c r="G21" s="13"/>
      <c r="H21" s="6"/>
      <c r="I21" s="13"/>
      <c r="J21" s="13"/>
    </row>
    <row r="22" spans="1:10">
      <c r="A22" s="2"/>
      <c r="B22" s="2"/>
      <c r="C22" s="2"/>
      <c r="D22" s="13"/>
      <c r="E22" s="13"/>
      <c r="F22" s="13"/>
      <c r="G22" s="13"/>
      <c r="H22" s="6"/>
      <c r="I22" s="13"/>
      <c r="J22" s="13"/>
    </row>
    <row r="23" spans="1:10">
      <c r="A23" s="2"/>
      <c r="B23" s="2"/>
      <c r="C23" s="2"/>
      <c r="D23" s="13"/>
      <c r="E23" s="13"/>
      <c r="F23" s="13"/>
      <c r="G23" s="13"/>
      <c r="H23" s="6"/>
      <c r="I23" s="13"/>
      <c r="J23" s="13"/>
    </row>
    <row r="24" spans="1:10">
      <c r="A24" s="2"/>
      <c r="B24" s="2"/>
      <c r="C24" s="2"/>
      <c r="D24" s="13"/>
      <c r="E24" s="13"/>
      <c r="F24" s="13"/>
      <c r="G24" s="13"/>
      <c r="H24" s="6"/>
      <c r="I24" s="13"/>
      <c r="J24" s="13"/>
    </row>
    <row r="25" spans="1:10">
      <c r="A25" s="2"/>
      <c r="B25" s="2"/>
      <c r="C25" s="2"/>
      <c r="D25" s="13"/>
      <c r="E25" s="13"/>
      <c r="F25" s="13"/>
      <c r="G25" s="13"/>
      <c r="H25" s="6"/>
      <c r="I25" s="13"/>
      <c r="J25" s="13"/>
    </row>
    <row r="26" spans="1:10">
      <c r="A26" s="2"/>
      <c r="B26" s="2"/>
      <c r="C26" s="2"/>
      <c r="D26" s="13"/>
      <c r="E26" s="13"/>
      <c r="F26" s="13"/>
      <c r="G26" s="13"/>
      <c r="H26" s="6"/>
      <c r="I26" s="13"/>
      <c r="J26" s="13"/>
    </row>
    <row r="27" spans="1:10">
      <c r="A27" s="2"/>
      <c r="B27" s="2"/>
      <c r="C27" s="2"/>
      <c r="D27" s="13"/>
      <c r="E27" s="13"/>
      <c r="F27" s="13"/>
      <c r="G27" s="13"/>
      <c r="H27" s="6"/>
      <c r="I27" s="13"/>
      <c r="J27" s="13"/>
    </row>
    <row r="28" spans="1:10">
      <c r="A28" s="2"/>
      <c r="B28" s="2"/>
      <c r="C28" s="2"/>
      <c r="D28" s="13"/>
      <c r="E28" s="13"/>
      <c r="F28" s="13"/>
      <c r="G28" s="13"/>
      <c r="H28" s="6"/>
      <c r="I28" s="13"/>
      <c r="J28" s="13"/>
    </row>
    <row r="29" spans="1:10">
      <c r="A29" s="2"/>
      <c r="B29" s="2"/>
      <c r="C29" s="2"/>
      <c r="D29" s="13"/>
      <c r="E29" s="13"/>
      <c r="F29" s="13"/>
      <c r="G29" s="13"/>
      <c r="H29" s="6"/>
      <c r="I29" s="13"/>
      <c r="J29" s="13"/>
    </row>
    <row r="30" spans="1:10">
      <c r="A30" s="2"/>
      <c r="B30" s="2"/>
      <c r="C30" s="2"/>
      <c r="D30" s="13"/>
      <c r="E30" s="13"/>
      <c r="F30" s="13"/>
      <c r="G30" s="13"/>
      <c r="H30" s="6"/>
      <c r="I30" s="13"/>
      <c r="J30" s="13"/>
    </row>
    <row r="31" spans="1:10">
      <c r="A31" s="2"/>
      <c r="B31" s="2"/>
      <c r="C31" s="2"/>
      <c r="D31" s="13"/>
      <c r="E31" s="13"/>
      <c r="F31" s="13"/>
      <c r="G31" s="13"/>
      <c r="H31" s="6"/>
      <c r="I31" s="13"/>
      <c r="J31" s="13"/>
    </row>
    <row r="32" spans="1:10">
      <c r="A32" s="2"/>
      <c r="B32" s="2"/>
      <c r="C32" s="2"/>
      <c r="D32" s="13"/>
      <c r="E32" s="13"/>
      <c r="F32" s="13"/>
      <c r="G32" s="13"/>
      <c r="H32" s="6"/>
      <c r="I32" s="13"/>
      <c r="J32" s="13"/>
    </row>
    <row r="33" spans="1:10">
      <c r="A33" s="2"/>
      <c r="B33" s="2"/>
      <c r="C33" s="2"/>
      <c r="D33" s="13"/>
      <c r="E33" s="13"/>
      <c r="F33" s="13"/>
      <c r="G33" s="13"/>
      <c r="H33" s="6"/>
      <c r="I33" s="13"/>
      <c r="J33" s="13"/>
    </row>
  </sheetData>
  <mergeCells count="1">
    <mergeCell ref="A1:J1"/>
  </mergeCells>
  <conditionalFormatting sqref="G4:G33">
    <cfRule type="expression" dxfId="4" priority="1">
      <formula>G4="Completed"</formula>
    </cfRule>
    <cfRule type="expression" dxfId="3" priority="2">
      <formula>G4="Blocked"</formula>
    </cfRule>
  </conditionalFormatting>
  <conditionalFormatting sqref="H4:H33">
    <cfRule type="dataBar" priority="9">
      <dataBar>
        <cfvo type="min"/>
        <cfvo type="max"/>
        <color rgb="FFA02B93"/>
      </dataBar>
    </cfRule>
    <cfRule type="dataBar" priority="11">
      <dataBar>
        <cfvo type="min"/>
        <cfvo type="max"/>
        <color rgb="FFA02B93"/>
      </dataBar>
      <extLst>
        <ext xmlns:x14="http://schemas.microsoft.com/office/spreadsheetml/2009/9/main" uri="{B025F937-C7B1-47D3-B67F-A62EFF666E3E}">
          <x14:id>{A4682585-4117-09FE-7F56-FC8BDAE995FA}</x14:id>
        </ext>
      </extLst>
    </cfRule>
  </conditionalFormatting>
  <dataValidations count="1">
    <dataValidation type="list" sqref="G4:G33" xr:uid="{00000000-0002-0000-0200-000000000000}">
      <formula1>"Not Started,In Progress,Completed,Blocked"</formula1>
    </dataValidation>
  </dataValidations>
  <hyperlinks>
    <hyperlink ref="I4" r:id="rId1" xr:uid="{8E4EEE68-607A-4F4D-BEAB-D03CBEDFF7EB}"/>
    <hyperlink ref="I9" r:id="rId2" xr:uid="{B0D95037-C756-4CDA-A2BD-DC1DB397AB1D}"/>
    <hyperlink ref="I10" r:id="rId3" xr:uid="{C2C379E2-2196-4F81-AD7B-0161B6EAD24B}"/>
    <hyperlink ref="I14" r:id="rId4" xr:uid="{CB5214F3-9F97-4086-9806-13956DB9BBF3}"/>
    <hyperlink ref="I11" r:id="rId5" display="https://cutfs-my.sharepoint.com/:x:/g/personal/223073835_stud_cut_ac_za/IQCqodYuJVnORbQVZzGjzpBrAa5Pf2xOYsxKlquG4Q04M7s?e=AaHIG2" xr:uid="{0C87EF0F-F43C-DB49-B981-04FD0905CC4A}"/>
    <hyperlink ref="I13" r:id="rId6" xr:uid="{825CC767-813E-4E4B-AA81-5A659C39E94A}"/>
    <hyperlink ref="I12" r:id="rId7" xr:uid="{47E3C322-DF83-4E48-BF3B-338EB9B3E5CB}"/>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4682585-4117-09FE-7F56-FC8BDAE995FA}">
            <x14:dataBar>
              <x14:cfvo type="min"/>
              <x14:cfvo type="max"/>
              <x14:negativeFillColor auto="1"/>
              <x14:axisColor auto="1"/>
            </x14:dataBar>
          </x14:cfRule>
          <xm:sqref>H4:H33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
  <sheetViews>
    <sheetView topLeftCell="A12" zoomScaleNormal="100" zoomScaleSheetLayoutView="100" workbookViewId="0">
      <selection activeCell="H4" sqref="H4"/>
    </sheetView>
  </sheetViews>
  <sheetFormatPr defaultColWidth="8.875" defaultRowHeight="14.1"/>
  <cols>
    <col min="1" max="1" width="22" customWidth="1"/>
    <col min="2" max="2" width="16" customWidth="1"/>
    <col min="3" max="3" width="24" customWidth="1"/>
    <col min="4" max="4" width="28" customWidth="1"/>
    <col min="5" max="5" width="40" customWidth="1"/>
    <col min="6" max="6" width="15" customWidth="1"/>
    <col min="7" max="7" width="12" customWidth="1"/>
    <col min="8" max="8" width="34" customWidth="1"/>
    <col min="9" max="10" width="15" customWidth="1"/>
    <col min="11" max="11" width="34" customWidth="1"/>
    <col min="12" max="12" width="16" customWidth="1"/>
  </cols>
  <sheetData>
    <row r="1" spans="1:12" ht="33.950000000000003" customHeight="1">
      <c r="A1" s="17" t="s">
        <v>134</v>
      </c>
      <c r="B1" s="17"/>
      <c r="C1" s="17"/>
      <c r="D1" s="17"/>
      <c r="E1" s="17"/>
      <c r="F1" s="17"/>
      <c r="G1" s="17"/>
      <c r="H1" s="17"/>
      <c r="I1" s="17"/>
      <c r="J1" s="17"/>
      <c r="K1" s="17"/>
      <c r="L1" s="17"/>
    </row>
    <row r="3" spans="1:12" ht="30" customHeight="1">
      <c r="A3" s="1" t="s">
        <v>135</v>
      </c>
      <c r="B3" s="1" t="s">
        <v>136</v>
      </c>
      <c r="C3" s="1" t="s">
        <v>137</v>
      </c>
      <c r="D3" s="1" t="s">
        <v>138</v>
      </c>
      <c r="E3" s="1" t="s">
        <v>139</v>
      </c>
      <c r="F3" s="1" t="s">
        <v>140</v>
      </c>
      <c r="G3" s="1" t="s">
        <v>141</v>
      </c>
      <c r="H3" s="1" t="s">
        <v>59</v>
      </c>
      <c r="I3" s="1" t="s">
        <v>142</v>
      </c>
      <c r="J3" s="1" t="s">
        <v>143</v>
      </c>
      <c r="K3" s="1" t="s">
        <v>144</v>
      </c>
      <c r="L3" s="1" t="s">
        <v>145</v>
      </c>
    </row>
    <row r="4" spans="1:12" ht="182.1">
      <c r="A4" s="13" t="s">
        <v>39</v>
      </c>
      <c r="B4" s="13">
        <v>22307385</v>
      </c>
      <c r="C4" s="13" t="s">
        <v>146</v>
      </c>
      <c r="D4" s="13" t="s">
        <v>147</v>
      </c>
      <c r="E4" s="13" t="s">
        <v>148</v>
      </c>
      <c r="F4" s="8">
        <v>46307</v>
      </c>
      <c r="G4" s="9">
        <v>0.79166666666666663</v>
      </c>
      <c r="H4" s="7" t="s">
        <v>44</v>
      </c>
      <c r="I4" s="13" t="s">
        <v>149</v>
      </c>
      <c r="J4" s="13" t="s">
        <v>73</v>
      </c>
      <c r="K4" s="13" t="s">
        <v>150</v>
      </c>
      <c r="L4" s="13" t="s">
        <v>37</v>
      </c>
    </row>
    <row r="5" spans="1:12" ht="84">
      <c r="A5" s="13" t="s">
        <v>64</v>
      </c>
      <c r="B5" s="13">
        <v>222055729</v>
      </c>
      <c r="C5" s="13" t="s">
        <v>151</v>
      </c>
      <c r="D5" s="13" t="s">
        <v>152</v>
      </c>
      <c r="E5" s="13" t="s">
        <v>153</v>
      </c>
      <c r="F5" s="8">
        <v>46307</v>
      </c>
      <c r="G5" s="9">
        <v>0.20833333333333334</v>
      </c>
      <c r="H5" s="7" t="s">
        <v>44</v>
      </c>
      <c r="I5" s="13" t="s">
        <v>149</v>
      </c>
      <c r="J5" s="13" t="s">
        <v>73</v>
      </c>
      <c r="K5" s="13" t="s">
        <v>154</v>
      </c>
      <c r="L5" s="13" t="s">
        <v>37</v>
      </c>
    </row>
    <row r="6" spans="1:12" ht="140.1">
      <c r="A6" s="13" t="s">
        <v>86</v>
      </c>
      <c r="B6" s="13">
        <v>223095490</v>
      </c>
      <c r="C6" s="13" t="s">
        <v>155</v>
      </c>
      <c r="D6" s="13" t="s">
        <v>156</v>
      </c>
      <c r="E6" s="13" t="s">
        <v>157</v>
      </c>
      <c r="F6" s="8">
        <v>46307</v>
      </c>
      <c r="G6" s="10">
        <v>2.3333333333333335</v>
      </c>
      <c r="H6" s="7" t="s">
        <v>44</v>
      </c>
      <c r="I6" s="13" t="s">
        <v>149</v>
      </c>
      <c r="J6" s="13" t="s">
        <v>73</v>
      </c>
      <c r="K6" s="13" t="s">
        <v>158</v>
      </c>
      <c r="L6" s="13" t="s">
        <v>37</v>
      </c>
    </row>
    <row r="7" spans="1:12" ht="210">
      <c r="A7" s="13" t="s">
        <v>79</v>
      </c>
      <c r="B7" s="13">
        <v>224004511</v>
      </c>
      <c r="C7" s="13" t="s">
        <v>159</v>
      </c>
      <c r="D7" s="13" t="s">
        <v>160</v>
      </c>
      <c r="E7" s="13" t="s">
        <v>161</v>
      </c>
      <c r="F7" s="8">
        <v>46307</v>
      </c>
      <c r="G7" s="10">
        <v>3</v>
      </c>
      <c r="H7" s="7" t="s">
        <v>44</v>
      </c>
      <c r="I7" s="13" t="s">
        <v>149</v>
      </c>
      <c r="J7" s="13" t="s">
        <v>73</v>
      </c>
      <c r="K7" s="13" t="s">
        <v>162</v>
      </c>
      <c r="L7" s="13" t="s">
        <v>37</v>
      </c>
    </row>
    <row r="8" spans="1:12" ht="111.95">
      <c r="A8" s="13" t="s">
        <v>163</v>
      </c>
      <c r="B8" s="13">
        <v>224043099</v>
      </c>
      <c r="C8" s="13" t="s">
        <v>164</v>
      </c>
      <c r="D8" s="13" t="s">
        <v>165</v>
      </c>
      <c r="E8" s="13" t="s">
        <v>166</v>
      </c>
      <c r="F8" s="8">
        <v>46307</v>
      </c>
      <c r="G8" s="9" t="s">
        <v>167</v>
      </c>
      <c r="H8" s="7" t="s">
        <v>44</v>
      </c>
      <c r="I8" s="13" t="s">
        <v>149</v>
      </c>
      <c r="J8" s="13" t="s">
        <v>73</v>
      </c>
      <c r="K8" s="13" t="s">
        <v>168</v>
      </c>
      <c r="L8" s="13" t="s">
        <v>37</v>
      </c>
    </row>
    <row r="9" spans="1:12" ht="126">
      <c r="A9" s="13" t="s">
        <v>125</v>
      </c>
      <c r="B9" s="13">
        <v>223037875</v>
      </c>
      <c r="C9" s="13" t="s">
        <v>169</v>
      </c>
      <c r="D9" s="13" t="s">
        <v>170</v>
      </c>
      <c r="E9" s="13" t="s">
        <v>171</v>
      </c>
      <c r="F9" s="8">
        <v>46307</v>
      </c>
      <c r="G9" s="10">
        <v>3</v>
      </c>
      <c r="H9" s="7" t="s">
        <v>44</v>
      </c>
      <c r="I9" s="13" t="s">
        <v>149</v>
      </c>
      <c r="J9" s="13" t="s">
        <v>73</v>
      </c>
      <c r="K9" s="13" t="s">
        <v>172</v>
      </c>
      <c r="L9" s="13" t="s">
        <v>37</v>
      </c>
    </row>
    <row r="10" spans="1:12" ht="195.95">
      <c r="A10" s="13" t="s">
        <v>173</v>
      </c>
      <c r="B10" s="13">
        <v>224054263</v>
      </c>
      <c r="C10" s="13" t="s">
        <v>174</v>
      </c>
      <c r="D10" s="13" t="s">
        <v>175</v>
      </c>
      <c r="E10" s="13" t="s">
        <v>176</v>
      </c>
      <c r="F10" s="8">
        <v>46307</v>
      </c>
      <c r="G10" s="10">
        <v>2.8333333333333335</v>
      </c>
      <c r="H10" s="7" t="s">
        <v>44</v>
      </c>
      <c r="I10" s="13" t="s">
        <v>149</v>
      </c>
      <c r="J10" s="13" t="s">
        <v>73</v>
      </c>
      <c r="K10" s="13" t="s">
        <v>177</v>
      </c>
      <c r="L10" s="13" t="s">
        <v>37</v>
      </c>
    </row>
    <row r="11" spans="1:12" ht="42">
      <c r="A11" s="13" t="s">
        <v>178</v>
      </c>
      <c r="B11" s="13">
        <v>221009228</v>
      </c>
      <c r="C11" s="13" t="s">
        <v>179</v>
      </c>
      <c r="D11" s="13" t="s">
        <v>180</v>
      </c>
      <c r="E11" s="13" t="s">
        <v>181</v>
      </c>
      <c r="F11" s="8">
        <v>46280</v>
      </c>
      <c r="G11" s="9">
        <v>8.3333333333333329E-2</v>
      </c>
      <c r="H11" s="7" t="s">
        <v>44</v>
      </c>
      <c r="I11" s="13" t="s">
        <v>182</v>
      </c>
      <c r="J11" s="13" t="s">
        <v>73</v>
      </c>
      <c r="K11" s="13"/>
      <c r="L11" s="13" t="s">
        <v>40</v>
      </c>
    </row>
    <row r="12" spans="1:12" ht="210">
      <c r="A12" s="13" t="s">
        <v>92</v>
      </c>
      <c r="B12" s="13">
        <v>223078534</v>
      </c>
      <c r="C12" s="13" t="s">
        <v>183</v>
      </c>
      <c r="D12" s="13" t="s">
        <v>184</v>
      </c>
      <c r="E12" s="13" t="s">
        <v>185</v>
      </c>
      <c r="F12" s="8">
        <v>46307</v>
      </c>
      <c r="G12" s="9">
        <v>0.58333333333333337</v>
      </c>
      <c r="H12" s="7" t="s">
        <v>44</v>
      </c>
      <c r="I12" s="13" t="s">
        <v>149</v>
      </c>
      <c r="J12" s="13" t="s">
        <v>73</v>
      </c>
      <c r="K12" s="13" t="s">
        <v>186</v>
      </c>
      <c r="L12" s="13" t="s">
        <v>37</v>
      </c>
    </row>
    <row r="13" spans="1:12" ht="84">
      <c r="A13" s="13" t="s">
        <v>114</v>
      </c>
      <c r="B13" s="13">
        <v>221046289</v>
      </c>
      <c r="C13" s="13" t="s">
        <v>187</v>
      </c>
      <c r="D13" s="13" t="s">
        <v>188</v>
      </c>
      <c r="E13" s="13" t="s">
        <v>189</v>
      </c>
      <c r="F13" s="8">
        <v>46308</v>
      </c>
      <c r="G13" s="9">
        <v>0.33333333333333331</v>
      </c>
      <c r="H13" s="7" t="s">
        <v>44</v>
      </c>
      <c r="I13" s="13" t="s">
        <v>149</v>
      </c>
      <c r="J13" s="13" t="s">
        <v>73</v>
      </c>
      <c r="K13" s="13" t="s">
        <v>190</v>
      </c>
      <c r="L13" s="13" t="s">
        <v>37</v>
      </c>
    </row>
    <row r="14" spans="1:12">
      <c r="A14" s="13"/>
      <c r="B14" s="13"/>
      <c r="C14" s="13"/>
      <c r="D14" s="13"/>
      <c r="E14" s="13"/>
      <c r="F14" s="13"/>
      <c r="G14" s="13"/>
      <c r="H14" s="13"/>
      <c r="I14" s="13" t="s">
        <v>182</v>
      </c>
      <c r="J14" s="13"/>
      <c r="K14" s="13"/>
      <c r="L14" s="13" t="s">
        <v>191</v>
      </c>
    </row>
    <row r="15" spans="1:12">
      <c r="A15" s="13"/>
      <c r="B15" s="13"/>
      <c r="C15" s="13"/>
      <c r="D15" s="13"/>
      <c r="E15" s="13"/>
      <c r="F15" s="13"/>
      <c r="G15" s="13"/>
      <c r="H15" s="13"/>
      <c r="I15" s="13" t="s">
        <v>182</v>
      </c>
      <c r="J15" s="13"/>
      <c r="K15" s="13"/>
      <c r="L15" s="13" t="s">
        <v>191</v>
      </c>
    </row>
    <row r="16" spans="1:12">
      <c r="A16" s="13"/>
      <c r="B16" s="13"/>
      <c r="C16" s="13"/>
      <c r="D16" s="13"/>
      <c r="E16" s="13"/>
      <c r="F16" s="13"/>
      <c r="G16" s="13"/>
      <c r="H16" s="13"/>
      <c r="I16" s="13" t="s">
        <v>182</v>
      </c>
      <c r="J16" s="13"/>
      <c r="K16" s="13"/>
      <c r="L16" s="13" t="s">
        <v>191</v>
      </c>
    </row>
    <row r="17" spans="1:12">
      <c r="A17" s="13"/>
      <c r="B17" s="13"/>
      <c r="C17" s="13"/>
      <c r="D17" s="13"/>
      <c r="E17" s="13"/>
      <c r="F17" s="13"/>
      <c r="G17" s="13"/>
      <c r="H17" s="13"/>
      <c r="I17" s="13" t="s">
        <v>182</v>
      </c>
      <c r="J17" s="13"/>
      <c r="K17" s="13"/>
      <c r="L17" s="13" t="s">
        <v>191</v>
      </c>
    </row>
    <row r="18" spans="1:12">
      <c r="A18" s="13"/>
      <c r="B18" s="13"/>
      <c r="C18" s="13"/>
      <c r="D18" s="13"/>
      <c r="E18" s="13"/>
      <c r="F18" s="13"/>
      <c r="G18" s="13"/>
      <c r="H18" s="13"/>
      <c r="I18" s="13" t="s">
        <v>182</v>
      </c>
      <c r="J18" s="13"/>
      <c r="K18" s="13"/>
      <c r="L18" s="13" t="s">
        <v>191</v>
      </c>
    </row>
    <row r="19" spans="1:12">
      <c r="A19" s="13"/>
      <c r="B19" s="13"/>
      <c r="C19" s="13"/>
      <c r="D19" s="13"/>
      <c r="E19" s="13"/>
      <c r="F19" s="13"/>
      <c r="G19" s="13"/>
      <c r="H19" s="13"/>
      <c r="I19" s="13" t="s">
        <v>182</v>
      </c>
      <c r="J19" s="13"/>
      <c r="K19" s="13"/>
      <c r="L19" s="13" t="s">
        <v>191</v>
      </c>
    </row>
    <row r="20" spans="1:12">
      <c r="A20" s="13"/>
      <c r="B20" s="13"/>
      <c r="C20" s="13"/>
      <c r="D20" s="13"/>
      <c r="E20" s="13"/>
      <c r="F20" s="13"/>
      <c r="G20" s="13"/>
      <c r="H20" s="13"/>
      <c r="I20" s="13" t="s">
        <v>182</v>
      </c>
      <c r="J20" s="13"/>
      <c r="K20" s="13"/>
      <c r="L20" s="13" t="s">
        <v>191</v>
      </c>
    </row>
    <row r="21" spans="1:12">
      <c r="A21" s="13"/>
      <c r="B21" s="13"/>
      <c r="C21" s="13"/>
      <c r="D21" s="13"/>
      <c r="E21" s="13"/>
      <c r="F21" s="13"/>
      <c r="G21" s="13"/>
      <c r="H21" s="13"/>
      <c r="I21" s="13" t="s">
        <v>182</v>
      </c>
      <c r="J21" s="13"/>
      <c r="K21" s="13"/>
      <c r="L21" s="13" t="s">
        <v>191</v>
      </c>
    </row>
    <row r="22" spans="1:12">
      <c r="A22" s="13"/>
      <c r="B22" s="13"/>
      <c r="C22" s="13"/>
      <c r="D22" s="13"/>
      <c r="E22" s="13"/>
      <c r="F22" s="13"/>
      <c r="G22" s="13"/>
      <c r="H22" s="13"/>
      <c r="I22" s="13" t="s">
        <v>182</v>
      </c>
      <c r="J22" s="13"/>
      <c r="K22" s="13"/>
      <c r="L22" s="13" t="s">
        <v>191</v>
      </c>
    </row>
    <row r="23" spans="1:12">
      <c r="A23" s="13"/>
      <c r="B23" s="13"/>
      <c r="C23" s="13"/>
      <c r="D23" s="13"/>
      <c r="E23" s="13"/>
      <c r="F23" s="13"/>
      <c r="G23" s="13"/>
      <c r="H23" s="13"/>
      <c r="I23" s="13" t="s">
        <v>182</v>
      </c>
      <c r="J23" s="13"/>
      <c r="K23" s="13"/>
      <c r="L23" s="13" t="s">
        <v>191</v>
      </c>
    </row>
    <row r="24" spans="1:12">
      <c r="A24" s="13"/>
      <c r="B24" s="13"/>
      <c r="C24" s="13"/>
      <c r="D24" s="13"/>
      <c r="E24" s="13"/>
      <c r="F24" s="13"/>
      <c r="G24" s="13"/>
      <c r="H24" s="13"/>
      <c r="I24" s="13" t="s">
        <v>182</v>
      </c>
      <c r="J24" s="13"/>
      <c r="K24" s="13"/>
      <c r="L24" s="13" t="s">
        <v>191</v>
      </c>
    </row>
    <row r="25" spans="1:12">
      <c r="A25" s="13"/>
      <c r="B25" s="13"/>
      <c r="C25" s="13"/>
      <c r="D25" s="13"/>
      <c r="E25" s="13"/>
      <c r="F25" s="13"/>
      <c r="G25" s="13"/>
      <c r="H25" s="13"/>
      <c r="I25" s="13" t="s">
        <v>182</v>
      </c>
      <c r="J25" s="13"/>
      <c r="K25" s="13"/>
      <c r="L25" s="13" t="s">
        <v>191</v>
      </c>
    </row>
    <row r="26" spans="1:12">
      <c r="A26" s="13"/>
      <c r="B26" s="13"/>
      <c r="C26" s="13"/>
      <c r="D26" s="13"/>
      <c r="E26" s="13"/>
      <c r="F26" s="13"/>
      <c r="G26" s="13"/>
      <c r="H26" s="13"/>
      <c r="I26" s="13" t="s">
        <v>182</v>
      </c>
      <c r="J26" s="13"/>
      <c r="K26" s="13"/>
      <c r="L26" s="13" t="s">
        <v>191</v>
      </c>
    </row>
    <row r="27" spans="1:12">
      <c r="A27" s="13"/>
      <c r="B27" s="13"/>
      <c r="C27" s="13"/>
      <c r="D27" s="13"/>
      <c r="E27" s="13"/>
      <c r="F27" s="13"/>
      <c r="G27" s="13"/>
      <c r="H27" s="13"/>
      <c r="I27" s="13" t="s">
        <v>182</v>
      </c>
      <c r="J27" s="13"/>
      <c r="K27" s="13"/>
      <c r="L27" s="13" t="s">
        <v>191</v>
      </c>
    </row>
    <row r="28" spans="1:12">
      <c r="A28" s="13"/>
      <c r="B28" s="13"/>
      <c r="C28" s="13"/>
      <c r="D28" s="13"/>
      <c r="E28" s="13"/>
      <c r="F28" s="13"/>
      <c r="G28" s="13"/>
      <c r="H28" s="13"/>
      <c r="I28" s="13" t="s">
        <v>182</v>
      </c>
      <c r="J28" s="13"/>
      <c r="K28" s="13"/>
      <c r="L28" s="13" t="s">
        <v>191</v>
      </c>
    </row>
    <row r="29" spans="1:12">
      <c r="A29" s="13"/>
      <c r="B29" s="13"/>
      <c r="C29" s="13"/>
      <c r="D29" s="13"/>
      <c r="E29" s="13"/>
      <c r="F29" s="13"/>
      <c r="G29" s="13"/>
      <c r="H29" s="13"/>
      <c r="I29" s="13" t="s">
        <v>182</v>
      </c>
      <c r="J29" s="13"/>
      <c r="K29" s="13"/>
      <c r="L29" s="13" t="s">
        <v>191</v>
      </c>
    </row>
    <row r="30" spans="1:12">
      <c r="A30" s="13"/>
      <c r="B30" s="13"/>
      <c r="C30" s="13"/>
      <c r="D30" s="13"/>
      <c r="E30" s="13"/>
      <c r="F30" s="13"/>
      <c r="G30" s="13"/>
      <c r="H30" s="13"/>
      <c r="I30" s="13" t="s">
        <v>182</v>
      </c>
      <c r="J30" s="13"/>
      <c r="K30" s="13"/>
      <c r="L30" s="13" t="s">
        <v>191</v>
      </c>
    </row>
    <row r="31" spans="1:12">
      <c r="A31" s="13"/>
      <c r="B31" s="13"/>
      <c r="C31" s="13"/>
      <c r="D31" s="13"/>
      <c r="E31" s="13"/>
      <c r="F31" s="13"/>
      <c r="G31" s="13"/>
      <c r="H31" s="13"/>
      <c r="I31" s="13" t="s">
        <v>182</v>
      </c>
      <c r="J31" s="13"/>
      <c r="K31" s="13"/>
      <c r="L31" s="13" t="s">
        <v>191</v>
      </c>
    </row>
    <row r="32" spans="1:12">
      <c r="A32" s="13"/>
      <c r="B32" s="13"/>
      <c r="C32" s="13"/>
      <c r="D32" s="13"/>
      <c r="E32" s="13"/>
      <c r="F32" s="13"/>
      <c r="G32" s="13"/>
      <c r="H32" s="13"/>
      <c r="I32" s="13" t="s">
        <v>182</v>
      </c>
      <c r="J32" s="13"/>
      <c r="K32" s="13"/>
      <c r="L32" s="13" t="s">
        <v>191</v>
      </c>
    </row>
    <row r="33" spans="1:12">
      <c r="A33" s="13"/>
      <c r="B33" s="13"/>
      <c r="C33" s="13"/>
      <c r="D33" s="13"/>
      <c r="E33" s="13"/>
      <c r="F33" s="13"/>
      <c r="G33" s="13"/>
      <c r="H33" s="13"/>
      <c r="I33" s="13" t="s">
        <v>182</v>
      </c>
      <c r="J33" s="13"/>
      <c r="K33" s="13"/>
      <c r="L33" s="13" t="s">
        <v>191</v>
      </c>
    </row>
    <row r="34" spans="1:12">
      <c r="A34" s="13"/>
      <c r="B34" s="13"/>
      <c r="C34" s="13"/>
      <c r="D34" s="13"/>
      <c r="E34" s="13"/>
      <c r="F34" s="13"/>
      <c r="G34" s="13"/>
      <c r="H34" s="13"/>
      <c r="I34" s="13" t="s">
        <v>182</v>
      </c>
      <c r="J34" s="13"/>
      <c r="K34" s="13"/>
      <c r="L34" s="13" t="s">
        <v>191</v>
      </c>
    </row>
    <row r="35" spans="1:12">
      <c r="A35" s="13"/>
      <c r="B35" s="13"/>
      <c r="C35" s="13"/>
      <c r="D35" s="13"/>
      <c r="E35" s="13"/>
      <c r="F35" s="13"/>
      <c r="G35" s="13"/>
      <c r="H35" s="13"/>
      <c r="I35" s="13" t="s">
        <v>182</v>
      </c>
      <c r="J35" s="13"/>
      <c r="K35" s="13"/>
      <c r="L35" s="13" t="s">
        <v>191</v>
      </c>
    </row>
    <row r="36" spans="1:12">
      <c r="A36" s="13"/>
      <c r="B36" s="13"/>
      <c r="C36" s="13"/>
      <c r="D36" s="13"/>
      <c r="E36" s="13"/>
      <c r="F36" s="13"/>
      <c r="G36" s="13"/>
      <c r="H36" s="13"/>
      <c r="I36" s="13" t="s">
        <v>182</v>
      </c>
      <c r="J36" s="13"/>
      <c r="K36" s="13"/>
      <c r="L36" s="13" t="s">
        <v>191</v>
      </c>
    </row>
    <row r="37" spans="1:12">
      <c r="A37" s="13"/>
      <c r="B37" s="13"/>
      <c r="C37" s="13"/>
      <c r="D37" s="13"/>
      <c r="E37" s="13"/>
      <c r="F37" s="13"/>
      <c r="G37" s="13"/>
      <c r="H37" s="13"/>
      <c r="I37" s="13" t="s">
        <v>182</v>
      </c>
      <c r="J37" s="13"/>
      <c r="K37" s="13"/>
      <c r="L37" s="13" t="s">
        <v>191</v>
      </c>
    </row>
    <row r="38" spans="1:12">
      <c r="A38" s="13"/>
      <c r="B38" s="13"/>
      <c r="C38" s="13"/>
      <c r="D38" s="13"/>
      <c r="E38" s="13"/>
      <c r="F38" s="13"/>
      <c r="G38" s="13"/>
      <c r="H38" s="13"/>
      <c r="I38" s="13" t="s">
        <v>182</v>
      </c>
      <c r="J38" s="13"/>
      <c r="K38" s="13"/>
      <c r="L38" s="13" t="s">
        <v>191</v>
      </c>
    </row>
    <row r="39" spans="1:12">
      <c r="A39" s="13"/>
      <c r="B39" s="13"/>
      <c r="C39" s="13"/>
      <c r="D39" s="13"/>
      <c r="E39" s="13"/>
      <c r="F39" s="13"/>
      <c r="G39" s="13"/>
      <c r="H39" s="13"/>
      <c r="I39" s="13" t="s">
        <v>182</v>
      </c>
      <c r="J39" s="13"/>
      <c r="K39" s="13"/>
      <c r="L39" s="13" t="s">
        <v>191</v>
      </c>
    </row>
    <row r="40" spans="1:12">
      <c r="A40" s="13"/>
      <c r="B40" s="13"/>
      <c r="C40" s="13"/>
      <c r="D40" s="13"/>
      <c r="E40" s="13"/>
      <c r="F40" s="13"/>
      <c r="G40" s="13"/>
      <c r="H40" s="13"/>
      <c r="I40" s="13" t="s">
        <v>182</v>
      </c>
      <c r="J40" s="13"/>
      <c r="K40" s="13"/>
      <c r="L40" s="13" t="s">
        <v>191</v>
      </c>
    </row>
    <row r="41" spans="1:12">
      <c r="A41" s="13"/>
      <c r="B41" s="13"/>
      <c r="C41" s="13"/>
      <c r="D41" s="13"/>
      <c r="E41" s="13"/>
      <c r="F41" s="13"/>
      <c r="G41" s="13"/>
      <c r="H41" s="13"/>
      <c r="I41" s="13" t="s">
        <v>182</v>
      </c>
      <c r="J41" s="13"/>
      <c r="K41" s="13"/>
      <c r="L41" s="13" t="s">
        <v>191</v>
      </c>
    </row>
    <row r="42" spans="1:12">
      <c r="A42" s="13"/>
      <c r="B42" s="13"/>
      <c r="C42" s="13"/>
      <c r="D42" s="13"/>
      <c r="E42" s="13"/>
      <c r="F42" s="13"/>
      <c r="G42" s="13"/>
      <c r="H42" s="13"/>
      <c r="I42" s="13" t="s">
        <v>182</v>
      </c>
      <c r="J42" s="13"/>
      <c r="K42" s="13"/>
      <c r="L42" s="13" t="s">
        <v>191</v>
      </c>
    </row>
    <row r="43" spans="1:12">
      <c r="A43" s="13"/>
      <c r="B43" s="13"/>
      <c r="C43" s="13"/>
      <c r="D43" s="13"/>
      <c r="E43" s="13"/>
      <c r="F43" s="13"/>
      <c r="G43" s="13"/>
      <c r="H43" s="13"/>
      <c r="I43" s="13" t="s">
        <v>182</v>
      </c>
      <c r="J43" s="13"/>
      <c r="K43" s="13"/>
      <c r="L43" s="13" t="s">
        <v>191</v>
      </c>
    </row>
  </sheetData>
  <mergeCells count="1">
    <mergeCell ref="A1:L1"/>
  </mergeCells>
  <conditionalFormatting sqref="L4:L43">
    <cfRule type="expression" dxfId="2" priority="1">
      <formula>L4="Completed"</formula>
    </cfRule>
  </conditionalFormatting>
  <dataValidations count="2">
    <dataValidation type="list" sqref="I4:I43" xr:uid="{00000000-0002-0000-0300-000000000000}">
      <formula1>"Yes,No"</formula1>
    </dataValidation>
    <dataValidation type="list" sqref="L4:L43" xr:uid="{00000000-0002-0000-0300-000001000000}">
      <formula1>"Not Started,In Progress,Completed,Blocked"</formula1>
    </dataValidation>
  </dataValidations>
  <hyperlinks>
    <hyperlink ref="H4" r:id="rId1" xr:uid="{4D80F937-ECF9-413F-B4F3-A33FA7FB3747}"/>
    <hyperlink ref="H5:H13" r:id="rId2" display="https://github.com/Michael-23-bloem/ITC327W" xr:uid="{031E8553-3481-4A86-AC7F-40FBC87EBED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topLeftCell="A9" zoomScaleNormal="100" zoomScaleSheetLayoutView="100" workbookViewId="0">
      <selection activeCell="C7" sqref="C7"/>
    </sheetView>
  </sheetViews>
  <sheetFormatPr defaultColWidth="8.875" defaultRowHeight="14.1"/>
  <cols>
    <col min="1" max="1" width="28" customWidth="1"/>
    <col min="2" max="2" width="20" customWidth="1"/>
    <col min="3" max="3" width="44" customWidth="1"/>
    <col min="4" max="4" width="20" customWidth="1"/>
    <col min="5" max="5" width="15" customWidth="1"/>
    <col min="6" max="6" width="23" customWidth="1"/>
    <col min="7" max="7" width="16" customWidth="1"/>
    <col min="8" max="8" width="34" customWidth="1"/>
  </cols>
  <sheetData>
    <row r="1" spans="1:8" ht="33.950000000000003" customHeight="1">
      <c r="A1" s="17" t="s">
        <v>192</v>
      </c>
      <c r="B1" s="17"/>
      <c r="C1" s="17"/>
      <c r="D1" s="17"/>
      <c r="E1" s="17"/>
      <c r="F1" s="17"/>
      <c r="G1" s="17"/>
      <c r="H1" s="17"/>
    </row>
    <row r="3" spans="1:8" ht="30" customHeight="1">
      <c r="A3" s="1" t="s">
        <v>193</v>
      </c>
      <c r="B3" s="1" t="s">
        <v>194</v>
      </c>
      <c r="C3" s="1" t="s">
        <v>195</v>
      </c>
      <c r="D3" s="1" t="s">
        <v>196</v>
      </c>
      <c r="E3" s="1" t="s">
        <v>197</v>
      </c>
      <c r="F3" s="1" t="s">
        <v>198</v>
      </c>
      <c r="G3" s="1" t="s">
        <v>199</v>
      </c>
      <c r="H3" s="1" t="s">
        <v>200</v>
      </c>
    </row>
    <row r="4" spans="1:8" ht="98.1">
      <c r="A4" t="s">
        <v>62</v>
      </c>
      <c r="B4" s="13" t="s">
        <v>201</v>
      </c>
      <c r="C4" s="7" t="s">
        <v>66</v>
      </c>
      <c r="D4" s="13" t="s">
        <v>149</v>
      </c>
      <c r="E4" s="13" t="s">
        <v>73</v>
      </c>
      <c r="F4" s="13" t="s">
        <v>202</v>
      </c>
      <c r="G4" s="13" t="s">
        <v>149</v>
      </c>
      <c r="H4" s="13" t="s">
        <v>203</v>
      </c>
    </row>
    <row r="5" spans="1:8" ht="144" customHeight="1">
      <c r="A5" t="s">
        <v>69</v>
      </c>
      <c r="B5" s="13" t="s">
        <v>204</v>
      </c>
      <c r="C5" s="13" t="s">
        <v>74</v>
      </c>
      <c r="D5" s="13" t="s">
        <v>149</v>
      </c>
      <c r="E5" s="13" t="s">
        <v>73</v>
      </c>
      <c r="F5" s="13" t="s">
        <v>205</v>
      </c>
      <c r="G5" s="13" t="s">
        <v>149</v>
      </c>
      <c r="H5" s="13" t="s">
        <v>206</v>
      </c>
    </row>
    <row r="6" spans="1:8" ht="100.5" customHeight="1">
      <c r="A6" t="s">
        <v>77</v>
      </c>
      <c r="B6" s="13" t="s">
        <v>204</v>
      </c>
      <c r="C6" s="13" t="s">
        <v>87</v>
      </c>
      <c r="D6" s="13" t="s">
        <v>149</v>
      </c>
      <c r="E6" s="13" t="s">
        <v>73</v>
      </c>
      <c r="F6" s="11" t="s">
        <v>207</v>
      </c>
      <c r="G6" s="13" t="s">
        <v>149</v>
      </c>
      <c r="H6" s="13" t="s">
        <v>206</v>
      </c>
    </row>
    <row r="7" spans="1:8" ht="99.75" customHeight="1">
      <c r="A7" t="s">
        <v>84</v>
      </c>
      <c r="B7" s="13" t="s">
        <v>204</v>
      </c>
      <c r="C7" s="13" t="s">
        <v>81</v>
      </c>
      <c r="D7" s="13" t="s">
        <v>149</v>
      </c>
      <c r="E7" s="13" t="s">
        <v>73</v>
      </c>
      <c r="F7" s="13" t="s">
        <v>208</v>
      </c>
      <c r="G7" s="13" t="s">
        <v>149</v>
      </c>
      <c r="H7" s="13" t="s">
        <v>206</v>
      </c>
    </row>
    <row r="8" spans="1:8" ht="39" customHeight="1">
      <c r="A8" t="s">
        <v>90</v>
      </c>
      <c r="B8" s="13" t="s">
        <v>204</v>
      </c>
      <c r="C8" s="13" t="s">
        <v>94</v>
      </c>
      <c r="D8" s="13" t="s">
        <v>149</v>
      </c>
      <c r="E8" s="13" t="s">
        <v>73</v>
      </c>
      <c r="F8" s="13" t="s">
        <v>209</v>
      </c>
      <c r="G8" s="13" t="s">
        <v>149</v>
      </c>
      <c r="H8" s="13" t="s">
        <v>206</v>
      </c>
    </row>
    <row r="9" spans="1:8" ht="117">
      <c r="A9" t="s">
        <v>97</v>
      </c>
      <c r="B9" s="13" t="s">
        <v>210</v>
      </c>
      <c r="C9" s="7" t="s">
        <v>100</v>
      </c>
      <c r="D9" s="13" t="s">
        <v>149</v>
      </c>
      <c r="E9" s="13" t="s">
        <v>73</v>
      </c>
      <c r="F9" s="13" t="s">
        <v>211</v>
      </c>
      <c r="G9" s="13" t="s">
        <v>149</v>
      </c>
      <c r="H9" s="13" t="s">
        <v>203</v>
      </c>
    </row>
    <row r="10" spans="1:8" ht="69.95">
      <c r="A10" t="s">
        <v>102</v>
      </c>
      <c r="B10" s="13" t="s">
        <v>210</v>
      </c>
      <c r="C10" s="7" t="s">
        <v>105</v>
      </c>
      <c r="D10" s="13" t="s">
        <v>149</v>
      </c>
      <c r="E10" s="13" t="s">
        <v>73</v>
      </c>
      <c r="F10" s="13" t="s">
        <v>212</v>
      </c>
      <c r="G10" s="13" t="s">
        <v>149</v>
      </c>
      <c r="H10" s="13" t="s">
        <v>213</v>
      </c>
    </row>
    <row r="11" spans="1:8" ht="69.95">
      <c r="A11" t="s">
        <v>214</v>
      </c>
      <c r="B11" s="13" t="s">
        <v>210</v>
      </c>
      <c r="C11" s="13" t="s">
        <v>215</v>
      </c>
      <c r="D11" s="13" t="s">
        <v>149</v>
      </c>
      <c r="E11" s="13"/>
      <c r="F11" s="13"/>
      <c r="G11" s="13" t="s">
        <v>149</v>
      </c>
      <c r="H11" s="13" t="s">
        <v>216</v>
      </c>
    </row>
  </sheetData>
  <mergeCells count="1">
    <mergeCell ref="A1:H1"/>
  </mergeCells>
  <dataValidations count="1">
    <dataValidation type="list" sqref="D4:D11 G4:G11" xr:uid="{00000000-0002-0000-0400-000000000000}">
      <formula1>"Yes,No"</formula1>
    </dataValidation>
  </dataValidations>
  <hyperlinks>
    <hyperlink ref="C4" r:id="rId1" xr:uid="{6C57EC1B-C25D-4C16-933A-9B9477D29B28}"/>
    <hyperlink ref="C9" r:id="rId2" xr:uid="{036A1ADE-D745-46D9-9688-120DF29379B7}"/>
    <hyperlink ref="C10" r:id="rId3" xr:uid="{52EAEC7D-715C-4ACC-A660-711D2FD3425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5"/>
  <sheetViews>
    <sheetView zoomScaleNormal="100" zoomScaleSheetLayoutView="100" workbookViewId="0">
      <selection activeCell="E8" sqref="E8"/>
    </sheetView>
  </sheetViews>
  <sheetFormatPr defaultColWidth="8.875" defaultRowHeight="14.1"/>
  <cols>
    <col min="1" max="1" width="15" customWidth="1"/>
    <col min="2" max="2" width="32" customWidth="1"/>
    <col min="3" max="3" width="34" customWidth="1"/>
    <col min="4" max="4" width="38" customWidth="1"/>
    <col min="5" max="5" width="24" customWidth="1"/>
    <col min="6" max="8" width="15" customWidth="1"/>
    <col min="9" max="9" width="32" customWidth="1"/>
  </cols>
  <sheetData>
    <row r="1" spans="1:9" ht="33.950000000000003" customHeight="1">
      <c r="A1" s="17" t="s">
        <v>217</v>
      </c>
      <c r="B1" s="17"/>
      <c r="C1" s="17"/>
      <c r="D1" s="17"/>
      <c r="E1" s="17"/>
      <c r="F1" s="17"/>
      <c r="G1" s="17"/>
      <c r="H1" s="17"/>
      <c r="I1" s="17"/>
    </row>
    <row r="3" spans="1:9" ht="30" customHeight="1">
      <c r="A3" s="1" t="s">
        <v>218</v>
      </c>
      <c r="B3" s="1" t="s">
        <v>219</v>
      </c>
      <c r="C3" s="1" t="s">
        <v>220</v>
      </c>
      <c r="D3" s="1" t="s">
        <v>221</v>
      </c>
      <c r="E3" s="1" t="s">
        <v>198</v>
      </c>
      <c r="F3" s="1" t="s">
        <v>222</v>
      </c>
      <c r="G3" s="1" t="s">
        <v>57</v>
      </c>
      <c r="H3" s="1" t="s">
        <v>223</v>
      </c>
      <c r="I3" s="1" t="s">
        <v>200</v>
      </c>
    </row>
    <row r="4" spans="1:9" ht="111.95">
      <c r="A4" s="8">
        <v>46280</v>
      </c>
      <c r="B4" s="13" t="s">
        <v>224</v>
      </c>
      <c r="C4" s="13" t="s">
        <v>225</v>
      </c>
      <c r="D4" s="13" t="s">
        <v>226</v>
      </c>
      <c r="E4" s="13" t="s">
        <v>227</v>
      </c>
      <c r="F4" s="8">
        <v>46280</v>
      </c>
      <c r="G4" s="13" t="s">
        <v>37</v>
      </c>
      <c r="H4" s="8">
        <v>46280</v>
      </c>
      <c r="I4" s="13" t="s">
        <v>228</v>
      </c>
    </row>
    <row r="5" spans="1:9" ht="42">
      <c r="A5" s="8">
        <v>46294</v>
      </c>
      <c r="B5" s="13" t="s">
        <v>229</v>
      </c>
      <c r="C5" s="13" t="s">
        <v>230</v>
      </c>
      <c r="D5" s="13" t="s">
        <v>231</v>
      </c>
      <c r="E5" s="13" t="s">
        <v>232</v>
      </c>
      <c r="F5" s="8" t="s">
        <v>233</v>
      </c>
      <c r="G5" s="13" t="s">
        <v>37</v>
      </c>
      <c r="H5" s="8">
        <v>46296</v>
      </c>
      <c r="I5" s="13" t="s">
        <v>234</v>
      </c>
    </row>
    <row r="6" spans="1:9" ht="69.95">
      <c r="A6" s="8">
        <v>46296</v>
      </c>
      <c r="B6" s="13" t="s">
        <v>235</v>
      </c>
      <c r="C6" s="13" t="s">
        <v>235</v>
      </c>
      <c r="D6" s="13" t="s">
        <v>235</v>
      </c>
      <c r="E6" s="13" t="s">
        <v>236</v>
      </c>
      <c r="F6" s="8">
        <v>46301</v>
      </c>
      <c r="G6" s="13" t="s">
        <v>37</v>
      </c>
      <c r="H6" s="8">
        <v>46301</v>
      </c>
      <c r="I6" s="13" t="s">
        <v>237</v>
      </c>
    </row>
    <row r="7" spans="1:9" ht="56.1">
      <c r="A7" s="8">
        <v>46296</v>
      </c>
      <c r="B7" s="13" t="s">
        <v>238</v>
      </c>
      <c r="C7" s="13" t="s">
        <v>238</v>
      </c>
      <c r="D7" s="13" t="s">
        <v>239</v>
      </c>
      <c r="E7" s="13" t="s">
        <v>240</v>
      </c>
      <c r="F7" s="8">
        <v>46301</v>
      </c>
      <c r="G7" s="13" t="s">
        <v>37</v>
      </c>
      <c r="H7" s="8">
        <v>46301</v>
      </c>
      <c r="I7" s="13" t="s">
        <v>241</v>
      </c>
    </row>
    <row r="8" spans="1:9" ht="111.95">
      <c r="A8" s="8">
        <v>46296</v>
      </c>
      <c r="B8" s="13" t="s">
        <v>242</v>
      </c>
      <c r="C8" s="13" t="s">
        <v>243</v>
      </c>
      <c r="D8" s="13" t="s">
        <v>244</v>
      </c>
      <c r="E8" s="13" t="s">
        <v>227</v>
      </c>
      <c r="F8" s="8">
        <v>46366</v>
      </c>
      <c r="G8" s="13" t="s">
        <v>37</v>
      </c>
      <c r="H8" s="8">
        <v>46366</v>
      </c>
      <c r="I8" s="13" t="s">
        <v>245</v>
      </c>
    </row>
    <row r="9" spans="1:9">
      <c r="A9" s="13"/>
      <c r="B9" s="13"/>
      <c r="C9" s="13"/>
      <c r="D9" s="13"/>
      <c r="E9" s="13"/>
      <c r="F9" s="13"/>
      <c r="G9" s="13" t="s">
        <v>191</v>
      </c>
      <c r="H9" s="13"/>
      <c r="I9" s="13"/>
    </row>
    <row r="10" spans="1:9">
      <c r="A10" s="13"/>
      <c r="B10" s="13"/>
      <c r="C10" s="13"/>
      <c r="D10" s="13"/>
      <c r="E10" s="13"/>
      <c r="F10" s="13"/>
      <c r="G10" s="13" t="s">
        <v>191</v>
      </c>
      <c r="H10" s="13"/>
      <c r="I10" s="13"/>
    </row>
    <row r="11" spans="1:9">
      <c r="A11" s="13"/>
      <c r="B11" s="13"/>
      <c r="C11" s="13"/>
      <c r="D11" s="13"/>
      <c r="E11" s="13"/>
      <c r="F11" s="13"/>
      <c r="G11" s="13" t="s">
        <v>191</v>
      </c>
      <c r="H11" s="13"/>
      <c r="I11" s="13"/>
    </row>
    <row r="12" spans="1:9">
      <c r="A12" s="13"/>
      <c r="B12" s="13"/>
      <c r="C12" s="13"/>
      <c r="D12" s="13"/>
      <c r="E12" s="13"/>
      <c r="F12" s="13"/>
      <c r="G12" s="13" t="s">
        <v>191</v>
      </c>
      <c r="H12" s="13"/>
      <c r="I12" s="13"/>
    </row>
    <row r="13" spans="1:9">
      <c r="A13" s="13"/>
      <c r="B13" s="13"/>
      <c r="C13" s="13"/>
      <c r="D13" s="13"/>
      <c r="E13" s="13"/>
      <c r="F13" s="13"/>
      <c r="G13" s="13" t="s">
        <v>191</v>
      </c>
      <c r="H13" s="13"/>
      <c r="I13" s="13"/>
    </row>
    <row r="14" spans="1:9">
      <c r="A14" s="13"/>
      <c r="B14" s="13"/>
      <c r="C14" s="13"/>
      <c r="D14" s="13"/>
      <c r="E14" s="13"/>
      <c r="F14" s="13"/>
      <c r="G14" s="13" t="s">
        <v>191</v>
      </c>
      <c r="H14" s="13"/>
      <c r="I14" s="13"/>
    </row>
    <row r="15" spans="1:9">
      <c r="A15" s="13"/>
      <c r="B15" s="13"/>
      <c r="C15" s="13"/>
      <c r="D15" s="13"/>
      <c r="E15" s="13"/>
      <c r="F15" s="13"/>
      <c r="G15" s="13" t="s">
        <v>191</v>
      </c>
      <c r="H15" s="13"/>
      <c r="I15" s="13"/>
    </row>
    <row r="16" spans="1:9">
      <c r="A16" s="13"/>
      <c r="B16" s="13"/>
      <c r="C16" s="13"/>
      <c r="D16" s="13"/>
      <c r="E16" s="13"/>
      <c r="F16" s="13"/>
      <c r="G16" s="13" t="s">
        <v>191</v>
      </c>
      <c r="H16" s="13"/>
      <c r="I16" s="13"/>
    </row>
    <row r="17" spans="1:9">
      <c r="A17" s="13"/>
      <c r="B17" s="13"/>
      <c r="C17" s="13"/>
      <c r="D17" s="13"/>
      <c r="E17" s="13"/>
      <c r="F17" s="13"/>
      <c r="G17" s="13" t="s">
        <v>191</v>
      </c>
      <c r="H17" s="13"/>
      <c r="I17" s="13"/>
    </row>
    <row r="18" spans="1:9">
      <c r="A18" s="13"/>
      <c r="B18" s="13"/>
      <c r="C18" s="13"/>
      <c r="D18" s="13"/>
      <c r="E18" s="13"/>
      <c r="F18" s="13"/>
      <c r="G18" s="13" t="s">
        <v>191</v>
      </c>
      <c r="H18" s="13"/>
      <c r="I18" s="13"/>
    </row>
    <row r="19" spans="1:9">
      <c r="A19" s="13"/>
      <c r="B19" s="13"/>
      <c r="C19" s="13"/>
      <c r="D19" s="13"/>
      <c r="E19" s="13"/>
      <c r="F19" s="13"/>
      <c r="G19" s="13" t="s">
        <v>191</v>
      </c>
      <c r="H19" s="13"/>
      <c r="I19" s="13"/>
    </row>
    <row r="20" spans="1:9">
      <c r="A20" s="13"/>
      <c r="B20" s="13"/>
      <c r="C20" s="13"/>
      <c r="D20" s="13"/>
      <c r="E20" s="13"/>
      <c r="F20" s="13"/>
      <c r="G20" s="13" t="s">
        <v>191</v>
      </c>
      <c r="H20" s="13"/>
      <c r="I20" s="13"/>
    </row>
    <row r="21" spans="1:9">
      <c r="A21" s="13"/>
      <c r="B21" s="13"/>
      <c r="C21" s="13"/>
      <c r="D21" s="13"/>
      <c r="E21" s="13"/>
      <c r="F21" s="13"/>
      <c r="G21" s="13" t="s">
        <v>191</v>
      </c>
      <c r="H21" s="13"/>
      <c r="I21" s="13"/>
    </row>
    <row r="22" spans="1:9">
      <c r="A22" s="13"/>
      <c r="B22" s="13"/>
      <c r="C22" s="13"/>
      <c r="D22" s="13"/>
      <c r="E22" s="13"/>
      <c r="F22" s="13"/>
      <c r="G22" s="13" t="s">
        <v>191</v>
      </c>
      <c r="H22" s="13"/>
      <c r="I22" s="13"/>
    </row>
    <row r="23" spans="1:9">
      <c r="A23" s="13"/>
      <c r="B23" s="13"/>
      <c r="C23" s="13"/>
      <c r="D23" s="13"/>
      <c r="E23" s="13"/>
      <c r="F23" s="13"/>
      <c r="G23" s="13" t="s">
        <v>191</v>
      </c>
      <c r="H23" s="13"/>
      <c r="I23" s="13"/>
    </row>
    <row r="24" spans="1:9">
      <c r="A24" s="13"/>
      <c r="B24" s="13"/>
      <c r="C24" s="13"/>
      <c r="D24" s="13"/>
      <c r="E24" s="13"/>
      <c r="F24" s="13"/>
      <c r="G24" s="13" t="s">
        <v>191</v>
      </c>
      <c r="H24" s="13"/>
      <c r="I24" s="13"/>
    </row>
    <row r="25" spans="1:9">
      <c r="A25" s="13"/>
      <c r="B25" s="13"/>
      <c r="C25" s="13"/>
      <c r="D25" s="13"/>
      <c r="E25" s="13"/>
      <c r="F25" s="13"/>
      <c r="G25" s="13" t="s">
        <v>191</v>
      </c>
      <c r="H25" s="13"/>
      <c r="I25" s="13"/>
    </row>
    <row r="26" spans="1:9">
      <c r="A26" s="13"/>
      <c r="B26" s="13"/>
      <c r="C26" s="13"/>
      <c r="D26" s="13"/>
      <c r="E26" s="13"/>
      <c r="F26" s="13"/>
      <c r="G26" s="13" t="s">
        <v>191</v>
      </c>
      <c r="H26" s="13"/>
      <c r="I26" s="13"/>
    </row>
    <row r="27" spans="1:9">
      <c r="A27" s="13"/>
      <c r="B27" s="13"/>
      <c r="C27" s="13"/>
      <c r="D27" s="13"/>
      <c r="E27" s="13"/>
      <c r="F27" s="13"/>
      <c r="G27" s="13" t="s">
        <v>191</v>
      </c>
      <c r="H27" s="13"/>
      <c r="I27" s="13"/>
    </row>
    <row r="28" spans="1:9">
      <c r="A28" s="13"/>
      <c r="B28" s="13"/>
      <c r="C28" s="13"/>
      <c r="D28" s="13"/>
      <c r="E28" s="13"/>
      <c r="F28" s="13"/>
      <c r="G28" s="13" t="s">
        <v>191</v>
      </c>
      <c r="H28" s="13"/>
      <c r="I28" s="13"/>
    </row>
    <row r="29" spans="1:9">
      <c r="A29" s="13"/>
      <c r="B29" s="13"/>
      <c r="C29" s="13"/>
      <c r="D29" s="13"/>
      <c r="E29" s="13"/>
      <c r="F29" s="13"/>
      <c r="G29" s="13" t="s">
        <v>191</v>
      </c>
      <c r="H29" s="13"/>
      <c r="I29" s="13"/>
    </row>
    <row r="30" spans="1:9">
      <c r="A30" s="13"/>
      <c r="B30" s="13"/>
      <c r="C30" s="13"/>
      <c r="D30" s="13"/>
      <c r="E30" s="13"/>
      <c r="F30" s="13"/>
      <c r="G30" s="13" t="s">
        <v>191</v>
      </c>
      <c r="H30" s="13"/>
      <c r="I30" s="13"/>
    </row>
    <row r="31" spans="1:9">
      <c r="A31" s="13"/>
      <c r="B31" s="13"/>
      <c r="C31" s="13"/>
      <c r="D31" s="13"/>
      <c r="E31" s="13"/>
      <c r="F31" s="13"/>
      <c r="G31" s="13" t="s">
        <v>191</v>
      </c>
      <c r="H31" s="13"/>
      <c r="I31" s="13"/>
    </row>
    <row r="32" spans="1:9">
      <c r="A32" s="13"/>
      <c r="B32" s="13"/>
      <c r="C32" s="13"/>
      <c r="D32" s="13"/>
      <c r="E32" s="13"/>
      <c r="F32" s="13"/>
      <c r="G32" s="13" t="s">
        <v>191</v>
      </c>
      <c r="H32" s="13"/>
      <c r="I32" s="13"/>
    </row>
    <row r="33" spans="1:9">
      <c r="A33" s="13"/>
      <c r="B33" s="13"/>
      <c r="C33" s="13"/>
      <c r="D33" s="13"/>
      <c r="E33" s="13"/>
      <c r="F33" s="13"/>
      <c r="G33" s="13" t="s">
        <v>191</v>
      </c>
      <c r="H33" s="13"/>
      <c r="I33" s="13"/>
    </row>
    <row r="34" spans="1:9">
      <c r="A34" s="13"/>
      <c r="B34" s="13"/>
      <c r="C34" s="13"/>
      <c r="D34" s="13"/>
      <c r="E34" s="13"/>
      <c r="F34" s="13"/>
      <c r="G34" s="13" t="s">
        <v>191</v>
      </c>
      <c r="H34" s="13"/>
      <c r="I34" s="13"/>
    </row>
    <row r="35" spans="1:9">
      <c r="A35" s="13"/>
      <c r="B35" s="13"/>
      <c r="C35" s="13"/>
      <c r="D35" s="13"/>
      <c r="E35" s="13"/>
      <c r="F35" s="13"/>
      <c r="G35" s="13" t="s">
        <v>191</v>
      </c>
      <c r="H35" s="13"/>
      <c r="I35" s="13"/>
    </row>
  </sheetData>
  <mergeCells count="1">
    <mergeCell ref="A1:I1"/>
  </mergeCells>
  <conditionalFormatting sqref="G4:G35">
    <cfRule type="expression" dxfId="1" priority="1">
      <formula>G4="Completed"</formula>
    </cfRule>
    <cfRule type="expression" dxfId="0" priority="2">
      <formula>G4="Blocked"</formula>
    </cfRule>
  </conditionalFormatting>
  <dataValidations count="1">
    <dataValidation type="list" sqref="G4:G35" xr:uid="{00000000-0002-0000-0500-000000000000}">
      <formula1>"Not Started,In Progress,Completed,Blocked"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zoomScaleNormal="100" zoomScaleSheetLayoutView="100" workbookViewId="0">
      <selection activeCell="B19" sqref="B19"/>
    </sheetView>
  </sheetViews>
  <sheetFormatPr defaultColWidth="8.875" defaultRowHeight="14.1"/>
  <cols>
    <col min="1" max="1" width="38" customWidth="1"/>
    <col min="2" max="3" width="34" customWidth="1"/>
    <col min="4" max="4" width="4" customWidth="1"/>
    <col min="5" max="5" width="38" customWidth="1"/>
    <col min="6" max="6" width="14" customWidth="1"/>
  </cols>
  <sheetData>
    <row r="1" spans="1:6" ht="33.950000000000003" customHeight="1">
      <c r="A1" s="17" t="s">
        <v>31</v>
      </c>
      <c r="B1" s="17"/>
      <c r="C1" s="17"/>
      <c r="D1" s="17"/>
      <c r="E1" s="17"/>
      <c r="F1" s="17"/>
    </row>
    <row r="3" spans="1:6" ht="30" customHeight="1">
      <c r="A3" s="14" t="s">
        <v>46</v>
      </c>
      <c r="B3" s="21" t="s">
        <v>246</v>
      </c>
      <c r="C3" s="21"/>
      <c r="E3" s="1" t="s">
        <v>247</v>
      </c>
      <c r="F3" s="1" t="s">
        <v>248</v>
      </c>
    </row>
    <row r="4" spans="1:6">
      <c r="A4" s="14" t="s">
        <v>47</v>
      </c>
      <c r="B4" s="21" t="s">
        <v>37</v>
      </c>
      <c r="C4" s="21"/>
      <c r="E4" t="s">
        <v>249</v>
      </c>
      <c r="F4" s="13" t="s">
        <v>149</v>
      </c>
    </row>
    <row r="5" spans="1:6">
      <c r="A5" s="14" t="s">
        <v>250</v>
      </c>
      <c r="B5" s="21" t="s">
        <v>251</v>
      </c>
      <c r="C5" s="21"/>
      <c r="E5" t="s">
        <v>252</v>
      </c>
      <c r="F5" s="13" t="s">
        <v>149</v>
      </c>
    </row>
    <row r="6" spans="1:6">
      <c r="A6" s="14" t="s">
        <v>253</v>
      </c>
      <c r="B6" s="21" t="s">
        <v>254</v>
      </c>
      <c r="C6" s="21"/>
      <c r="E6" t="s">
        <v>255</v>
      </c>
      <c r="F6" s="13" t="s">
        <v>149</v>
      </c>
    </row>
    <row r="7" spans="1:6">
      <c r="A7" s="14" t="s">
        <v>256</v>
      </c>
      <c r="B7" s="21"/>
      <c r="C7" s="21"/>
      <c r="E7" t="s">
        <v>257</v>
      </c>
      <c r="F7" s="13" t="s">
        <v>149</v>
      </c>
    </row>
    <row r="8" spans="1:6" ht="27.95">
      <c r="A8" s="14" t="s">
        <v>258</v>
      </c>
      <c r="B8" s="21" t="s">
        <v>259</v>
      </c>
      <c r="C8" s="21"/>
      <c r="E8" t="s">
        <v>260</v>
      </c>
      <c r="F8" s="13" t="s">
        <v>149</v>
      </c>
    </row>
    <row r="9" spans="1:6">
      <c r="A9" s="14" t="s">
        <v>261</v>
      </c>
      <c r="B9" s="21" t="s">
        <v>262</v>
      </c>
      <c r="C9" s="21"/>
      <c r="E9" t="s">
        <v>263</v>
      </c>
      <c r="F9" s="13" t="s">
        <v>149</v>
      </c>
    </row>
    <row r="10" spans="1:6">
      <c r="A10" s="14" t="s">
        <v>264</v>
      </c>
      <c r="B10" s="21" t="s">
        <v>265</v>
      </c>
      <c r="C10" s="21"/>
      <c r="E10" t="s">
        <v>266</v>
      </c>
      <c r="F10" s="13" t="s">
        <v>149</v>
      </c>
    </row>
    <row r="11" spans="1:6">
      <c r="A11" s="14" t="s">
        <v>267</v>
      </c>
      <c r="B11" s="21" t="s">
        <v>268</v>
      </c>
      <c r="C11" s="21"/>
      <c r="E11" t="s">
        <v>269</v>
      </c>
      <c r="F11" s="13" t="s">
        <v>149</v>
      </c>
    </row>
    <row r="12" spans="1:6">
      <c r="E12" t="s">
        <v>270</v>
      </c>
      <c r="F12" s="13" t="s">
        <v>149</v>
      </c>
    </row>
    <row r="13" spans="1:6">
      <c r="E13" t="s">
        <v>271</v>
      </c>
      <c r="F13" s="13" t="s">
        <v>149</v>
      </c>
    </row>
    <row r="14" spans="1:6">
      <c r="E14" t="s">
        <v>272</v>
      </c>
      <c r="F14" s="13" t="s">
        <v>149</v>
      </c>
    </row>
    <row r="15" spans="1:6">
      <c r="E15" t="s">
        <v>273</v>
      </c>
      <c r="F15" s="13" t="s">
        <v>149</v>
      </c>
    </row>
    <row r="16" spans="1:6">
      <c r="E16" t="s">
        <v>274</v>
      </c>
      <c r="F16" s="13" t="s">
        <v>149</v>
      </c>
    </row>
  </sheetData>
  <mergeCells count="10">
    <mergeCell ref="A1:F1"/>
    <mergeCell ref="B3:C3"/>
    <mergeCell ref="B4:C4"/>
    <mergeCell ref="B5:C5"/>
    <mergeCell ref="B6:C6"/>
    <mergeCell ref="B7:C7"/>
    <mergeCell ref="B8:C8"/>
    <mergeCell ref="B9:C9"/>
    <mergeCell ref="B10:C10"/>
    <mergeCell ref="B11:C11"/>
  </mergeCells>
  <dataValidations count="2">
    <dataValidation type="list" sqref="B4" xr:uid="{00000000-0002-0000-0600-000000000000}">
      <formula1>"Not Started,In Progress,Completed,Blocked"</formula1>
    </dataValidation>
    <dataValidation type="list" sqref="F4:F16" xr:uid="{00000000-0002-0000-0600-000001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5"/>
  <sheetViews>
    <sheetView topLeftCell="A11" zoomScaleNormal="100" zoomScaleSheetLayoutView="100" workbookViewId="0">
      <selection activeCell="C33" sqref="C33"/>
    </sheetView>
  </sheetViews>
  <sheetFormatPr defaultColWidth="8.875" defaultRowHeight="14.1"/>
  <cols>
    <col min="1" max="6" width="24" customWidth="1"/>
  </cols>
  <sheetData>
    <row r="1" spans="1:6" ht="33.950000000000003" customHeight="1">
      <c r="A1" s="17" t="s">
        <v>275</v>
      </c>
      <c r="B1" s="17"/>
      <c r="C1" s="17"/>
      <c r="D1" s="17"/>
      <c r="E1" s="17"/>
      <c r="F1" s="17"/>
    </row>
    <row r="3" spans="1:6" ht="27.95" customHeight="1">
      <c r="A3" s="22" t="s">
        <v>276</v>
      </c>
      <c r="B3" s="22"/>
      <c r="C3" s="22"/>
      <c r="D3" s="22"/>
      <c r="E3" s="22"/>
      <c r="F3" s="22"/>
    </row>
    <row r="4" spans="1:6" ht="38.1" customHeight="1">
      <c r="A4" s="23" t="s">
        <v>277</v>
      </c>
      <c r="B4" s="23"/>
      <c r="C4" s="23"/>
      <c r="D4" s="23"/>
      <c r="E4" s="23"/>
      <c r="F4" s="23"/>
    </row>
    <row r="5" spans="1:6" ht="38.1" customHeight="1">
      <c r="A5" s="23"/>
      <c r="B5" s="23"/>
      <c r="C5" s="23"/>
      <c r="D5" s="23"/>
      <c r="E5" s="23"/>
      <c r="F5" s="23"/>
    </row>
    <row r="6" spans="1:6" ht="30" customHeight="1">
      <c r="A6" s="15"/>
      <c r="B6" s="15"/>
      <c r="C6" s="15"/>
      <c r="D6" s="15"/>
      <c r="E6" s="15"/>
      <c r="F6" s="15"/>
    </row>
    <row r="7" spans="1:6" ht="27.95" customHeight="1">
      <c r="A7" s="24" t="s">
        <v>278</v>
      </c>
      <c r="B7" s="24"/>
      <c r="C7" s="24"/>
      <c r="D7" s="24"/>
      <c r="E7" s="24"/>
      <c r="F7" s="24"/>
    </row>
    <row r="8" spans="1:6" ht="38.1" customHeight="1">
      <c r="A8" s="23" t="s">
        <v>279</v>
      </c>
      <c r="B8" s="23"/>
      <c r="C8" s="23"/>
      <c r="D8" s="23"/>
      <c r="E8" s="23"/>
      <c r="F8" s="23"/>
    </row>
    <row r="9" spans="1:6" ht="38.1" customHeight="1">
      <c r="A9" s="21"/>
      <c r="B9" s="21"/>
      <c r="C9" s="21"/>
      <c r="D9" s="21"/>
      <c r="E9" s="21"/>
      <c r="F9" s="21"/>
    </row>
    <row r="10" spans="1:6" ht="42" customHeight="1">
      <c r="A10" s="13"/>
      <c r="B10" s="13"/>
      <c r="C10" s="13"/>
      <c r="D10" s="13"/>
      <c r="E10" s="13"/>
      <c r="F10" s="13"/>
    </row>
    <row r="11" spans="1:6" ht="27.95" customHeight="1">
      <c r="A11" s="22" t="s">
        <v>280</v>
      </c>
      <c r="B11" s="22"/>
      <c r="C11" s="22"/>
      <c r="D11" s="22"/>
      <c r="E11" s="22"/>
      <c r="F11" s="22"/>
    </row>
    <row r="12" spans="1:6" ht="38.1" customHeight="1">
      <c r="A12" s="21" t="s">
        <v>281</v>
      </c>
      <c r="B12" s="21"/>
      <c r="C12" s="21"/>
      <c r="D12" s="21"/>
      <c r="E12" s="21"/>
      <c r="F12" s="21"/>
    </row>
    <row r="13" spans="1:6" ht="38.1" customHeight="1">
      <c r="A13" s="21"/>
      <c r="B13" s="21"/>
      <c r="C13" s="21"/>
      <c r="D13" s="21"/>
      <c r="E13" s="21"/>
      <c r="F13" s="21"/>
    </row>
    <row r="15" spans="1:6" ht="27.95" customHeight="1">
      <c r="A15" s="22" t="s">
        <v>282</v>
      </c>
      <c r="B15" s="22"/>
      <c r="C15" s="22"/>
      <c r="D15" s="22"/>
      <c r="E15" s="22"/>
      <c r="F15" s="22"/>
    </row>
    <row r="16" spans="1:6" ht="38.1" customHeight="1">
      <c r="A16" s="21" t="s">
        <v>283</v>
      </c>
      <c r="B16" s="21"/>
      <c r="C16" s="21"/>
      <c r="D16" s="21"/>
      <c r="E16" s="21"/>
      <c r="F16" s="21"/>
    </row>
    <row r="17" spans="1:6" ht="38.1" customHeight="1">
      <c r="A17" s="21"/>
      <c r="B17" s="21"/>
      <c r="C17" s="21"/>
      <c r="D17" s="21"/>
      <c r="E17" s="21"/>
      <c r="F17" s="21"/>
    </row>
    <row r="19" spans="1:6" ht="27.95" customHeight="1">
      <c r="A19" s="22" t="s">
        <v>284</v>
      </c>
      <c r="B19" s="22"/>
      <c r="C19" s="22"/>
      <c r="D19" s="22"/>
      <c r="E19" s="22"/>
      <c r="F19" s="22"/>
    </row>
    <row r="20" spans="1:6" ht="38.1" customHeight="1">
      <c r="A20" s="21" t="s">
        <v>285</v>
      </c>
      <c r="B20" s="21"/>
      <c r="C20" s="21"/>
      <c r="D20" s="21"/>
      <c r="E20" s="21"/>
      <c r="F20" s="21"/>
    </row>
    <row r="21" spans="1:6" ht="38.1" customHeight="1">
      <c r="A21" s="21"/>
      <c r="B21" s="21"/>
      <c r="C21" s="21"/>
      <c r="D21" s="21"/>
      <c r="E21" s="21"/>
      <c r="F21" s="21"/>
    </row>
    <row r="23" spans="1:6" ht="27.95" customHeight="1">
      <c r="A23" s="22" t="s">
        <v>286</v>
      </c>
      <c r="B23" s="22"/>
      <c r="C23" s="22"/>
      <c r="D23" s="22"/>
      <c r="E23" s="22"/>
      <c r="F23" s="22"/>
    </row>
    <row r="24" spans="1:6" ht="38.1" customHeight="1">
      <c r="A24" s="21" t="s">
        <v>287</v>
      </c>
      <c r="B24" s="21"/>
      <c r="C24" s="21"/>
      <c r="D24" s="21"/>
      <c r="E24" s="21"/>
      <c r="F24" s="21"/>
    </row>
    <row r="25" spans="1:6" ht="38.1" customHeight="1">
      <c r="A25" s="21"/>
      <c r="B25" s="21"/>
      <c r="C25" s="21"/>
      <c r="D25" s="21"/>
      <c r="E25" s="21"/>
      <c r="F25" s="21"/>
    </row>
  </sheetData>
  <mergeCells count="13">
    <mergeCell ref="A1:F1"/>
    <mergeCell ref="A3:F3"/>
    <mergeCell ref="A4:F5"/>
    <mergeCell ref="A7:F7"/>
    <mergeCell ref="A8:F9"/>
    <mergeCell ref="A20:F21"/>
    <mergeCell ref="A23:F23"/>
    <mergeCell ref="A24:F25"/>
    <mergeCell ref="A11:F11"/>
    <mergeCell ref="A12:F13"/>
    <mergeCell ref="A15:F15"/>
    <mergeCell ref="A16:F17"/>
    <mergeCell ref="A19:F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2026-10-11T22:19:58Z</dcterms:created>
  <dcterms:modified xsi:type="dcterms:W3CDTF">2026-10-14T20:21:36Z</dcterms:modified>
  <cp:category/>
  <cp:contentStatus/>
</cp:coreProperties>
</file>